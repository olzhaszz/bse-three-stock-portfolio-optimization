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3\fin data analysis\fourth hw\"/>
    </mc:Choice>
  </mc:AlternateContent>
  <xr:revisionPtr revIDLastSave="0" documentId="13_ncr:1_{2471F0BC-F9E9-4813-AAC7-82B8554872BF}" xr6:coauthVersionLast="47" xr6:coauthVersionMax="47" xr10:uidLastSave="{00000000-0000-0000-0000-000000000000}"/>
  <bookViews>
    <workbookView xWindow="3000" yWindow="3000" windowWidth="17280" windowHeight="8964" activeTab="1" xr2:uid="{00000000-000D-0000-FFFF-FFFF00000000}"/>
  </bookViews>
  <sheets>
    <sheet name="Data" sheetId="1" r:id="rId1"/>
    <sheet name="Hw_task1" sheetId="2" r:id="rId2"/>
    <sheet name="calculations_3" sheetId="4" r:id="rId3"/>
    <sheet name="calculations_1" sheetId="3" r:id="rId4"/>
  </sheets>
  <definedNames>
    <definedName name="solver_adj" localSheetId="1" hidden="1">Hw_task1!$AI$21:$AK$21</definedName>
    <definedName name="solver_cvg" localSheetId="2" hidden="1">0.0001</definedName>
    <definedName name="solver_cvg" localSheetId="1" hidden="1">0.0001</definedName>
    <definedName name="solver_drv" localSheetId="2" hidden="1">1</definedName>
    <definedName name="solver_drv" localSheetId="1" hidden="1">2</definedName>
    <definedName name="solver_eng" localSheetId="2" hidden="1">1</definedName>
    <definedName name="solver_eng" localSheetId="1" hidden="1">1</definedName>
    <definedName name="solver_est" localSheetId="2" hidden="1">1</definedName>
    <definedName name="solver_est" localSheetId="1" hidden="1">1</definedName>
    <definedName name="solver_itr" localSheetId="2" hidden="1">2147483647</definedName>
    <definedName name="solver_itr" localSheetId="1" hidden="1">2147483647</definedName>
    <definedName name="solver_lhs1" localSheetId="2" hidden="1">calculations_3!$X$22</definedName>
    <definedName name="solver_lhs1" localSheetId="1" hidden="1">Hw_task1!$AF$39</definedName>
    <definedName name="solver_lhs2" localSheetId="1" hidden="1">Hw_task1!$AG$38</definedName>
    <definedName name="solver_lhs3" localSheetId="1" hidden="1">Hw_task1!#REF!</definedName>
    <definedName name="solver_lhs4" localSheetId="1" hidden="1">Hw_task1!$AI$21:$AK$21</definedName>
    <definedName name="solver_lhs5" localSheetId="1" hidden="1">Hw_task1!$AM$21</definedName>
    <definedName name="solver_mip" localSheetId="2" hidden="1">2147483647</definedName>
    <definedName name="solver_mip" localSheetId="1" hidden="1">2147483647</definedName>
    <definedName name="solver_mni" localSheetId="2" hidden="1">30</definedName>
    <definedName name="solver_mni" localSheetId="1" hidden="1">30</definedName>
    <definedName name="solver_mrt" localSheetId="2" hidden="1">0.075</definedName>
    <definedName name="solver_mrt" localSheetId="1" hidden="1">0.075</definedName>
    <definedName name="solver_msl" localSheetId="2" hidden="1">2</definedName>
    <definedName name="solver_msl" localSheetId="1" hidden="1">2</definedName>
    <definedName name="solver_neg" localSheetId="2" hidden="1">1</definedName>
    <definedName name="solver_neg" localSheetId="1" hidden="1">1</definedName>
    <definedName name="solver_nod" localSheetId="2" hidden="1">2147483647</definedName>
    <definedName name="solver_nod" localSheetId="1" hidden="1">2147483647</definedName>
    <definedName name="solver_num" localSheetId="2" hidden="1">0</definedName>
    <definedName name="solver_num" localSheetId="1" hidden="1">5</definedName>
    <definedName name="solver_nwt" localSheetId="2" hidden="1">1</definedName>
    <definedName name="solver_nwt" localSheetId="1" hidden="1">1</definedName>
    <definedName name="solver_opt" localSheetId="1" hidden="1">Hw_task1!$AI$32</definedName>
    <definedName name="solver_pre" localSheetId="2" hidden="1">0.000001</definedName>
    <definedName name="solver_pre" localSheetId="1" hidden="1">0.000001</definedName>
    <definedName name="solver_rbv" localSheetId="2" hidden="1">1</definedName>
    <definedName name="solver_rbv" localSheetId="1" hidden="1">2</definedName>
    <definedName name="solver_rel1" localSheetId="2" hidden="1">2</definedName>
    <definedName name="solver_rel1" localSheetId="1" hidden="1">1</definedName>
    <definedName name="solver_rel2" localSheetId="1" hidden="1">1</definedName>
    <definedName name="solver_rel3" localSheetId="1" hidden="1">1</definedName>
    <definedName name="solver_rel4" localSheetId="1" hidden="1">3</definedName>
    <definedName name="solver_rel5" localSheetId="1" hidden="1">2</definedName>
    <definedName name="solver_rhs1" localSheetId="2" hidden="1">1</definedName>
    <definedName name="solver_rhs1" localSheetId="1" hidden="1">Hw_task1!$AG$38</definedName>
    <definedName name="solver_rhs2" localSheetId="1" hidden="1">Hw_task1!$AF$39</definedName>
    <definedName name="solver_rhs3" localSheetId="1" hidden="1">Hw_task1!$AF$39</definedName>
    <definedName name="solver_rhs4" localSheetId="1" hidden="1">0</definedName>
    <definedName name="solver_rhs5" localSheetId="1" hidden="1">1</definedName>
    <definedName name="solver_rlx" localSheetId="2" hidden="1">2</definedName>
    <definedName name="solver_rlx" localSheetId="1" hidden="1">2</definedName>
    <definedName name="solver_rsd" localSheetId="2" hidden="1">0</definedName>
    <definedName name="solver_rsd" localSheetId="1" hidden="1">0</definedName>
    <definedName name="solver_scl" localSheetId="2" hidden="1">1</definedName>
    <definedName name="solver_scl" localSheetId="1" hidden="1">2</definedName>
    <definedName name="solver_sho" localSheetId="2" hidden="1">2</definedName>
    <definedName name="solver_sho" localSheetId="1" hidden="1">2</definedName>
    <definedName name="solver_ssz" localSheetId="2" hidden="1">100</definedName>
    <definedName name="solver_ssz" localSheetId="1" hidden="1">100</definedName>
    <definedName name="solver_tim" localSheetId="2" hidden="1">2147483647</definedName>
    <definedName name="solver_tim" localSheetId="1" hidden="1">2147483647</definedName>
    <definedName name="solver_tol" localSheetId="2" hidden="1">0.01</definedName>
    <definedName name="solver_tol" localSheetId="1" hidden="1">0.01</definedName>
    <definedName name="solver_typ" localSheetId="2" hidden="1">1</definedName>
    <definedName name="solver_typ" localSheetId="1" hidden="1">1</definedName>
    <definedName name="solver_val" localSheetId="2" hidden="1">0</definedName>
    <definedName name="solver_val" localSheetId="1" hidden="1">0</definedName>
    <definedName name="solver_ver" localSheetId="2" hidden="1">3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20" i="2" l="1"/>
  <c r="AC14" i="2"/>
  <c r="Z18" i="2"/>
  <c r="L24" i="2"/>
  <c r="AM16" i="2" a="1"/>
  <c r="AM16" i="2" s="1"/>
  <c r="AI30" i="2"/>
  <c r="AL31" i="2" s="1"/>
  <c r="AK25" i="2"/>
  <c r="AJ25" i="2"/>
  <c r="AI25" i="2"/>
  <c r="AK18" i="2"/>
  <c r="AJ18" i="2"/>
  <c r="AI18" i="2"/>
  <c r="AJ17" i="2"/>
  <c r="AK17" i="2"/>
  <c r="AI17" i="2"/>
  <c r="AK16" i="2"/>
  <c r="AJ16" i="2"/>
  <c r="AI16" i="2"/>
  <c r="AM21" i="2" l="1"/>
  <c r="AI31" i="2" a="1"/>
  <c r="AI31" i="2" s="1"/>
  <c r="AI32" i="2" s="1"/>
  <c r="AK31" i="2" s="1"/>
  <c r="B2" i="4"/>
  <c r="C2" i="4"/>
  <c r="D2" i="4"/>
  <c r="E2" i="4"/>
  <c r="F2" i="4"/>
  <c r="B3" i="4"/>
  <c r="C3" i="4"/>
  <c r="D3" i="4"/>
  <c r="E3" i="4"/>
  <c r="F3" i="4"/>
  <c r="H3" i="4"/>
  <c r="B4" i="4"/>
  <c r="C4" i="4"/>
  <c r="D4" i="4"/>
  <c r="E4" i="4"/>
  <c r="F4" i="4"/>
  <c r="H4" i="4"/>
  <c r="B5" i="4"/>
  <c r="C5" i="4"/>
  <c r="D5" i="4"/>
  <c r="E5" i="4"/>
  <c r="F5" i="4"/>
  <c r="H5" i="4"/>
  <c r="B6" i="4"/>
  <c r="C6" i="4"/>
  <c r="D6" i="4"/>
  <c r="E6" i="4"/>
  <c r="F6" i="4"/>
  <c r="H6" i="4"/>
  <c r="B7" i="4"/>
  <c r="C7" i="4"/>
  <c r="D7" i="4"/>
  <c r="E7" i="4"/>
  <c r="F7" i="4"/>
  <c r="H7" i="4"/>
  <c r="B8" i="4"/>
  <c r="C8" i="4"/>
  <c r="D8" i="4"/>
  <c r="E8" i="4"/>
  <c r="F8" i="4"/>
  <c r="H8" i="4"/>
  <c r="B9" i="4"/>
  <c r="C9" i="4"/>
  <c r="D9" i="4"/>
  <c r="E9" i="4"/>
  <c r="F9" i="4"/>
  <c r="H9" i="4"/>
  <c r="B10" i="4"/>
  <c r="C10" i="4"/>
  <c r="D10" i="4"/>
  <c r="E10" i="4"/>
  <c r="F10" i="4"/>
  <c r="H10" i="4"/>
  <c r="B11" i="4"/>
  <c r="C11" i="4"/>
  <c r="D11" i="4"/>
  <c r="E11" i="4"/>
  <c r="F11" i="4"/>
  <c r="H11" i="4"/>
  <c r="B12" i="4"/>
  <c r="C12" i="4"/>
  <c r="D12" i="4"/>
  <c r="E12" i="4"/>
  <c r="F12" i="4"/>
  <c r="H12" i="4"/>
  <c r="B13" i="4"/>
  <c r="C13" i="4"/>
  <c r="D13" i="4"/>
  <c r="E13" i="4"/>
  <c r="F13" i="4"/>
  <c r="H13" i="4"/>
  <c r="B14" i="4"/>
  <c r="C14" i="4"/>
  <c r="D14" i="4"/>
  <c r="E14" i="4"/>
  <c r="F14" i="4"/>
  <c r="H14" i="4"/>
  <c r="B15" i="4"/>
  <c r="C15" i="4"/>
  <c r="D15" i="4"/>
  <c r="E15" i="4"/>
  <c r="F15" i="4"/>
  <c r="H15" i="4"/>
  <c r="B16" i="4"/>
  <c r="C16" i="4"/>
  <c r="D16" i="4"/>
  <c r="E16" i="4"/>
  <c r="F16" i="4"/>
  <c r="H16" i="4"/>
  <c r="X16" i="4" a="1"/>
  <c r="X18" i="4" s="1"/>
  <c r="B17" i="4"/>
  <c r="C17" i="4"/>
  <c r="D17" i="4"/>
  <c r="E17" i="4"/>
  <c r="F17" i="4"/>
  <c r="H17" i="4"/>
  <c r="B18" i="4"/>
  <c r="C18" i="4"/>
  <c r="D18" i="4"/>
  <c r="E18" i="4"/>
  <c r="F18" i="4"/>
  <c r="H18" i="4"/>
  <c r="B19" i="4"/>
  <c r="C19" i="4"/>
  <c r="D19" i="4"/>
  <c r="E19" i="4"/>
  <c r="F19" i="4"/>
  <c r="H19" i="4"/>
  <c r="B20" i="4"/>
  <c r="C20" i="4"/>
  <c r="D20" i="4"/>
  <c r="E20" i="4"/>
  <c r="F20" i="4"/>
  <c r="H20" i="4"/>
  <c r="B21" i="4"/>
  <c r="C21" i="4"/>
  <c r="D21" i="4"/>
  <c r="E21" i="4"/>
  <c r="F21" i="4"/>
  <c r="H21" i="4"/>
  <c r="B22" i="4"/>
  <c r="C22" i="4"/>
  <c r="D22" i="4"/>
  <c r="E22" i="4"/>
  <c r="F22" i="4"/>
  <c r="H22" i="4"/>
  <c r="B23" i="4"/>
  <c r="C23" i="4"/>
  <c r="D23" i="4"/>
  <c r="E23" i="4"/>
  <c r="F23" i="4"/>
  <c r="H23" i="4"/>
  <c r="B24" i="4"/>
  <c r="C24" i="4"/>
  <c r="D24" i="4"/>
  <c r="E24" i="4"/>
  <c r="F24" i="4"/>
  <c r="H24" i="4"/>
  <c r="B25" i="4"/>
  <c r="C25" i="4"/>
  <c r="D25" i="4"/>
  <c r="E25" i="4"/>
  <c r="F25" i="4"/>
  <c r="H25" i="4"/>
  <c r="B26" i="4"/>
  <c r="C26" i="4"/>
  <c r="D26" i="4"/>
  <c r="E26" i="4"/>
  <c r="F26" i="4"/>
  <c r="H26" i="4"/>
  <c r="B27" i="4"/>
  <c r="C27" i="4"/>
  <c r="D27" i="4"/>
  <c r="E27" i="4"/>
  <c r="F27" i="4"/>
  <c r="H27" i="4"/>
  <c r="B28" i="4"/>
  <c r="C28" i="4"/>
  <c r="D28" i="4"/>
  <c r="E28" i="4"/>
  <c r="F28" i="4"/>
  <c r="H28" i="4"/>
  <c r="B29" i="4"/>
  <c r="C29" i="4"/>
  <c r="D29" i="4"/>
  <c r="E29" i="4"/>
  <c r="F29" i="4"/>
  <c r="H29" i="4"/>
  <c r="B30" i="4"/>
  <c r="C30" i="4"/>
  <c r="D30" i="4"/>
  <c r="E30" i="4"/>
  <c r="F30" i="4"/>
  <c r="H30" i="4"/>
  <c r="B31" i="4"/>
  <c r="C31" i="4"/>
  <c r="D31" i="4"/>
  <c r="E31" i="4"/>
  <c r="F31" i="4"/>
  <c r="H31" i="4"/>
  <c r="B32" i="4"/>
  <c r="C32" i="4"/>
  <c r="D32" i="4"/>
  <c r="E32" i="4"/>
  <c r="F32" i="4"/>
  <c r="H32" i="4"/>
  <c r="B33" i="4"/>
  <c r="C33" i="4"/>
  <c r="D33" i="4"/>
  <c r="E33" i="4"/>
  <c r="F33" i="4"/>
  <c r="H33" i="4"/>
  <c r="B34" i="4"/>
  <c r="C34" i="4"/>
  <c r="D34" i="4"/>
  <c r="E34" i="4"/>
  <c r="F34" i="4"/>
  <c r="H34" i="4"/>
  <c r="B35" i="4"/>
  <c r="C35" i="4"/>
  <c r="D35" i="4"/>
  <c r="E35" i="4"/>
  <c r="F35" i="4"/>
  <c r="H35" i="4"/>
  <c r="B36" i="4"/>
  <c r="C36" i="4"/>
  <c r="D36" i="4"/>
  <c r="E36" i="4"/>
  <c r="F36" i="4"/>
  <c r="H36" i="4"/>
  <c r="B37" i="4"/>
  <c r="C37" i="4"/>
  <c r="D37" i="4"/>
  <c r="E37" i="4"/>
  <c r="F37" i="4"/>
  <c r="H37" i="4"/>
  <c r="B38" i="4"/>
  <c r="C38" i="4"/>
  <c r="D38" i="4"/>
  <c r="E38" i="4"/>
  <c r="F38" i="4"/>
  <c r="H38" i="4"/>
  <c r="B39" i="4"/>
  <c r="C39" i="4"/>
  <c r="D39" i="4"/>
  <c r="E39" i="4"/>
  <c r="F39" i="4"/>
  <c r="H39" i="4"/>
  <c r="B40" i="4"/>
  <c r="C40" i="4"/>
  <c r="D40" i="4"/>
  <c r="E40" i="4"/>
  <c r="F40" i="4"/>
  <c r="H40" i="4"/>
  <c r="B41" i="4"/>
  <c r="C41" i="4"/>
  <c r="D41" i="4"/>
  <c r="E41" i="4"/>
  <c r="F41" i="4"/>
  <c r="H41" i="4"/>
  <c r="B42" i="4"/>
  <c r="C42" i="4"/>
  <c r="D42" i="4"/>
  <c r="E42" i="4"/>
  <c r="F42" i="4"/>
  <c r="H42" i="4"/>
  <c r="B43" i="4"/>
  <c r="C43" i="4"/>
  <c r="D43" i="4"/>
  <c r="E43" i="4"/>
  <c r="F43" i="4"/>
  <c r="H43" i="4"/>
  <c r="B44" i="4"/>
  <c r="C44" i="4"/>
  <c r="D44" i="4"/>
  <c r="E44" i="4"/>
  <c r="F44" i="4"/>
  <c r="H44" i="4"/>
  <c r="B45" i="4"/>
  <c r="C45" i="4"/>
  <c r="D45" i="4"/>
  <c r="E45" i="4"/>
  <c r="F45" i="4"/>
  <c r="H45" i="4"/>
  <c r="B46" i="4"/>
  <c r="C46" i="4"/>
  <c r="D46" i="4"/>
  <c r="E46" i="4"/>
  <c r="F46" i="4"/>
  <c r="H46" i="4"/>
  <c r="B47" i="4"/>
  <c r="C47" i="4"/>
  <c r="D47" i="4"/>
  <c r="E47" i="4"/>
  <c r="F47" i="4"/>
  <c r="H47" i="4"/>
  <c r="B48" i="4"/>
  <c r="C48" i="4"/>
  <c r="D48" i="4"/>
  <c r="E48" i="4"/>
  <c r="F48" i="4"/>
  <c r="H48" i="4"/>
  <c r="B49" i="4"/>
  <c r="C49" i="4"/>
  <c r="D49" i="4"/>
  <c r="E49" i="4"/>
  <c r="F49" i="4"/>
  <c r="H49" i="4"/>
  <c r="B50" i="4"/>
  <c r="C50" i="4"/>
  <c r="D50" i="4"/>
  <c r="E50" i="4"/>
  <c r="F50" i="4"/>
  <c r="H50" i="4"/>
  <c r="B51" i="4"/>
  <c r="C51" i="4"/>
  <c r="D51" i="4"/>
  <c r="E51" i="4"/>
  <c r="F51" i="4"/>
  <c r="H51" i="4"/>
  <c r="B52" i="4"/>
  <c r="C52" i="4"/>
  <c r="D52" i="4"/>
  <c r="E52" i="4"/>
  <c r="F52" i="4"/>
  <c r="H52" i="4"/>
  <c r="B53" i="4"/>
  <c r="C53" i="4"/>
  <c r="D53" i="4"/>
  <c r="E53" i="4"/>
  <c r="F53" i="4"/>
  <c r="H53" i="4"/>
  <c r="B54" i="4"/>
  <c r="C54" i="4"/>
  <c r="D54" i="4"/>
  <c r="E54" i="4"/>
  <c r="F54" i="4"/>
  <c r="H54" i="4"/>
  <c r="B55" i="4"/>
  <c r="C55" i="4"/>
  <c r="D55" i="4"/>
  <c r="E55" i="4"/>
  <c r="F55" i="4"/>
  <c r="H55" i="4"/>
  <c r="B56" i="4"/>
  <c r="C56" i="4"/>
  <c r="D56" i="4"/>
  <c r="E56" i="4"/>
  <c r="F56" i="4"/>
  <c r="H56" i="4"/>
  <c r="B57" i="4"/>
  <c r="C57" i="4"/>
  <c r="D57" i="4"/>
  <c r="E57" i="4"/>
  <c r="F57" i="4"/>
  <c r="H57" i="4"/>
  <c r="B58" i="4"/>
  <c r="C58" i="4"/>
  <c r="D58" i="4"/>
  <c r="E58" i="4"/>
  <c r="F58" i="4"/>
  <c r="H58" i="4"/>
  <c r="B59" i="4"/>
  <c r="C59" i="4"/>
  <c r="D59" i="4"/>
  <c r="E59" i="4"/>
  <c r="F59" i="4"/>
  <c r="H59" i="4"/>
  <c r="B60" i="4"/>
  <c r="C60" i="4"/>
  <c r="D60" i="4"/>
  <c r="E60" i="4"/>
  <c r="F60" i="4"/>
  <c r="H60" i="4"/>
  <c r="B61" i="4"/>
  <c r="C61" i="4"/>
  <c r="D61" i="4"/>
  <c r="E61" i="4"/>
  <c r="F61" i="4"/>
  <c r="H61" i="4"/>
  <c r="B62" i="4"/>
  <c r="C62" i="4"/>
  <c r="D62" i="4"/>
  <c r="E62" i="4"/>
  <c r="F62" i="4"/>
  <c r="H62" i="4"/>
  <c r="B63" i="4"/>
  <c r="C63" i="4"/>
  <c r="D63" i="4"/>
  <c r="E63" i="4"/>
  <c r="F63" i="4"/>
  <c r="H63" i="4"/>
  <c r="B64" i="4"/>
  <c r="C64" i="4"/>
  <c r="D64" i="4"/>
  <c r="E64" i="4"/>
  <c r="F64" i="4"/>
  <c r="H64" i="4"/>
  <c r="AC6" i="2"/>
  <c r="AC5" i="2"/>
  <c r="AC4" i="2"/>
  <c r="R6" i="3"/>
  <c r="AB4" i="3"/>
  <c r="P8" i="3"/>
  <c r="S7" i="3"/>
  <c r="Q8" i="3" s="1"/>
  <c r="R7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H3" i="3"/>
  <c r="G3" i="3"/>
  <c r="I3" i="3"/>
  <c r="D3" i="3"/>
  <c r="E3" i="3"/>
  <c r="F3" i="3" s="1"/>
  <c r="J9" i="4" l="1"/>
  <c r="L6" i="4"/>
  <c r="I49" i="4"/>
  <c r="I45" i="4"/>
  <c r="M43" i="4"/>
  <c r="M39" i="4"/>
  <c r="I37" i="4"/>
  <c r="M35" i="4"/>
  <c r="I17" i="4"/>
  <c r="J5" i="4"/>
  <c r="M15" i="4"/>
  <c r="K14" i="4"/>
  <c r="I9" i="4"/>
  <c r="M7" i="4"/>
  <c r="K6" i="4"/>
  <c r="M3" i="4"/>
  <c r="K27" i="4"/>
  <c r="K23" i="4"/>
  <c r="L3" i="4"/>
  <c r="J64" i="4"/>
  <c r="L61" i="4"/>
  <c r="K9" i="4"/>
  <c r="L44" i="4"/>
  <c r="K15" i="4"/>
  <c r="I14" i="4"/>
  <c r="K3" i="4"/>
  <c r="I31" i="4"/>
  <c r="L55" i="4"/>
  <c r="L47" i="4"/>
  <c r="J34" i="4"/>
  <c r="L50" i="4"/>
  <c r="K29" i="4"/>
  <c r="M26" i="4"/>
  <c r="J58" i="4"/>
  <c r="J52" i="4"/>
  <c r="I63" i="4"/>
  <c r="M61" i="4"/>
  <c r="I59" i="4"/>
  <c r="M57" i="4"/>
  <c r="I35" i="4"/>
  <c r="M33" i="4"/>
  <c r="L28" i="4"/>
  <c r="J23" i="4"/>
  <c r="L11" i="4"/>
  <c r="L7" i="4"/>
  <c r="J6" i="4"/>
  <c r="M64" i="4"/>
  <c r="K63" i="4"/>
  <c r="K55" i="4"/>
  <c r="L43" i="4"/>
  <c r="L36" i="4"/>
  <c r="K18" i="4"/>
  <c r="J17" i="4"/>
  <c r="J4" i="4"/>
  <c r="L64" i="4"/>
  <c r="L60" i="4"/>
  <c r="K51" i="4"/>
  <c r="M48" i="4"/>
  <c r="K47" i="4"/>
  <c r="L23" i="4"/>
  <c r="J22" i="4"/>
  <c r="L19" i="4"/>
  <c r="J18" i="4"/>
  <c r="J13" i="4"/>
  <c r="I8" i="4"/>
  <c r="M6" i="4"/>
  <c r="K5" i="4"/>
  <c r="J44" i="4"/>
  <c r="L37" i="4"/>
  <c r="J36" i="4"/>
  <c r="M29" i="4"/>
  <c r="K24" i="4"/>
  <c r="K20" i="4"/>
  <c r="I19" i="4"/>
  <c r="M16" i="4"/>
  <c r="M12" i="4"/>
  <c r="L54" i="4"/>
  <c r="K45" i="4"/>
  <c r="K37" i="4"/>
  <c r="L21" i="4"/>
  <c r="J20" i="4"/>
  <c r="K57" i="4"/>
  <c r="L53" i="4"/>
  <c r="M45" i="4"/>
  <c r="M40" i="4"/>
  <c r="K39" i="4"/>
  <c r="M27" i="4"/>
  <c r="J25" i="4"/>
  <c r="I24" i="4"/>
  <c r="K21" i="4"/>
  <c r="I20" i="4"/>
  <c r="M18" i="4"/>
  <c r="L17" i="4"/>
  <c r="L62" i="4"/>
  <c r="L58" i="4"/>
  <c r="K53" i="4"/>
  <c r="J48" i="4"/>
  <c r="L45" i="4"/>
  <c r="M32" i="4"/>
  <c r="K26" i="4"/>
  <c r="L22" i="4"/>
  <c r="K17" i="4"/>
  <c r="K12" i="4"/>
  <c r="I11" i="4"/>
  <c r="L8" i="4"/>
  <c r="J7" i="4"/>
  <c r="L4" i="4"/>
  <c r="M50" i="4"/>
  <c r="K49" i="4"/>
  <c r="M41" i="4"/>
  <c r="K40" i="4"/>
  <c r="J35" i="4"/>
  <c r="K31" i="4"/>
  <c r="J26" i="4"/>
  <c r="M23" i="4"/>
  <c r="J15" i="4"/>
  <c r="I53" i="4"/>
  <c r="K32" i="4"/>
  <c r="M17" i="4"/>
  <c r="I10" i="4"/>
  <c r="L56" i="4"/>
  <c r="J46" i="4"/>
  <c r="L42" i="4"/>
  <c r="J42" i="4"/>
  <c r="L38" i="4"/>
  <c r="M25" i="4"/>
  <c r="K62" i="4"/>
  <c r="I61" i="4"/>
  <c r="J57" i="4"/>
  <c r="M53" i="4"/>
  <c r="L52" i="4"/>
  <c r="L48" i="4"/>
  <c r="I46" i="4"/>
  <c r="M42" i="4"/>
  <c r="J40" i="4"/>
  <c r="M37" i="4"/>
  <c r="I33" i="4"/>
  <c r="L30" i="4"/>
  <c r="L25" i="4"/>
  <c r="M20" i="4"/>
  <c r="K19" i="4"/>
  <c r="I16" i="4"/>
  <c r="L13" i="4"/>
  <c r="M10" i="4"/>
  <c r="K8" i="4"/>
  <c r="I7" i="4"/>
  <c r="M5" i="4"/>
  <c r="L59" i="4"/>
  <c r="M49" i="4"/>
  <c r="K48" i="4"/>
  <c r="K30" i="4"/>
  <c r="I29" i="4"/>
  <c r="J24" i="4"/>
  <c r="L20" i="4"/>
  <c r="J19" i="4"/>
  <c r="K13" i="4"/>
  <c r="I12" i="4"/>
  <c r="L9" i="4"/>
  <c r="J8" i="4"/>
  <c r="I3" i="4"/>
  <c r="L46" i="4"/>
  <c r="K64" i="4"/>
  <c r="M56" i="4"/>
  <c r="K38" i="4"/>
  <c r="L32" i="4"/>
  <c r="L27" i="4"/>
  <c r="L15" i="4"/>
  <c r="K10" i="4"/>
  <c r="J61" i="4"/>
  <c r="M52" i="4"/>
  <c r="K41" i="4"/>
  <c r="I38" i="4"/>
  <c r="M34" i="4"/>
  <c r="J32" i="4"/>
  <c r="K56" i="4"/>
  <c r="K61" i="4"/>
  <c r="M58" i="4"/>
  <c r="J56" i="4"/>
  <c r="J50" i="4"/>
  <c r="I44" i="4"/>
  <c r="L40" i="4"/>
  <c r="M36" i="4"/>
  <c r="L34" i="4"/>
  <c r="L29" i="4"/>
  <c r="I27" i="4"/>
  <c r="M24" i="4"/>
  <c r="M19" i="4"/>
  <c r="L12" i="4"/>
  <c r="M8" i="4"/>
  <c r="K7" i="4"/>
  <c r="I6" i="4"/>
  <c r="M4" i="4"/>
  <c r="J49" i="4"/>
  <c r="M44" i="4"/>
  <c r="J29" i="4"/>
  <c r="J12" i="4"/>
  <c r="I47" i="4"/>
  <c r="K42" i="4"/>
  <c r="I40" i="4"/>
  <c r="J30" i="4"/>
  <c r="I28" i="4"/>
  <c r="J3" i="4"/>
  <c r="K59" i="4"/>
  <c r="I60" i="4"/>
  <c r="M55" i="4"/>
  <c r="I62" i="4"/>
  <c r="M59" i="4"/>
  <c r="K54" i="4"/>
  <c r="J53" i="4"/>
  <c r="I51" i="4"/>
  <c r="K43" i="4"/>
  <c r="J41" i="4"/>
  <c r="I30" i="4"/>
  <c r="J21" i="4"/>
  <c r="I13" i="4"/>
  <c r="I5" i="4"/>
  <c r="J51" i="4"/>
  <c r="I64" i="4"/>
  <c r="J60" i="4"/>
  <c r="J54" i="4"/>
  <c r="I52" i="4"/>
  <c r="M47" i="4"/>
  <c r="J43" i="4"/>
  <c r="I41" i="4"/>
  <c r="I39" i="4"/>
  <c r="L35" i="4"/>
  <c r="K34" i="4"/>
  <c r="I32" i="4"/>
  <c r="J28" i="4"/>
  <c r="I21" i="4"/>
  <c r="I15" i="4"/>
  <c r="J11" i="4"/>
  <c r="J62" i="4"/>
  <c r="M60" i="4"/>
  <c r="I54" i="4"/>
  <c r="M51" i="4"/>
  <c r="K46" i="4"/>
  <c r="J45" i="4"/>
  <c r="I43" i="4"/>
  <c r="K35" i="4"/>
  <c r="J33" i="4"/>
  <c r="M28" i="4"/>
  <c r="L26" i="4"/>
  <c r="K25" i="4"/>
  <c r="I23" i="4"/>
  <c r="I18" i="4"/>
  <c r="J16" i="4"/>
  <c r="M11" i="4"/>
  <c r="K58" i="4"/>
  <c r="I56" i="4"/>
  <c r="L39" i="4"/>
  <c r="M21" i="4"/>
  <c r="L10" i="4"/>
  <c r="M9" i="4"/>
  <c r="J37" i="4"/>
  <c r="M63" i="4"/>
  <c r="L63" i="4"/>
  <c r="J59" i="4"/>
  <c r="I57" i="4"/>
  <c r="I55" i="4"/>
  <c r="L51" i="4"/>
  <c r="K50" i="4"/>
  <c r="I48" i="4"/>
  <c r="J38" i="4"/>
  <c r="I36" i="4"/>
  <c r="K33" i="4"/>
  <c r="M31" i="4"/>
  <c r="L31" i="4"/>
  <c r="J27" i="4"/>
  <c r="I26" i="4"/>
  <c r="M22" i="4"/>
  <c r="L18" i="4"/>
  <c r="K16" i="4"/>
  <c r="M14" i="4"/>
  <c r="L14" i="4"/>
  <c r="J10" i="4"/>
  <c r="L5" i="4"/>
  <c r="K4" i="4"/>
  <c r="X17" i="4"/>
  <c r="J63" i="4"/>
  <c r="M62" i="4"/>
  <c r="K60" i="4"/>
  <c r="I58" i="4"/>
  <c r="L57" i="4"/>
  <c r="J55" i="4"/>
  <c r="M54" i="4"/>
  <c r="K52" i="4"/>
  <c r="I50" i="4"/>
  <c r="L49" i="4"/>
  <c r="J47" i="4"/>
  <c r="M46" i="4"/>
  <c r="K44" i="4"/>
  <c r="I42" i="4"/>
  <c r="L41" i="4"/>
  <c r="J39" i="4"/>
  <c r="M38" i="4"/>
  <c r="K36" i="4"/>
  <c r="I34" i="4"/>
  <c r="L33" i="4"/>
  <c r="J31" i="4"/>
  <c r="M30" i="4"/>
  <c r="K28" i="4"/>
  <c r="I25" i="4"/>
  <c r="L24" i="4"/>
  <c r="K22" i="4"/>
  <c r="X16" i="4"/>
  <c r="X22" i="4" s="1"/>
  <c r="L16" i="4"/>
  <c r="J14" i="4"/>
  <c r="M13" i="4"/>
  <c r="K11" i="4"/>
  <c r="I4" i="4"/>
  <c r="I22" i="4"/>
  <c r="X20" i="4"/>
  <c r="X19" i="4"/>
  <c r="E4" i="2"/>
  <c r="F4" i="2"/>
  <c r="G4" i="2"/>
  <c r="E5" i="2"/>
  <c r="F5" i="2"/>
  <c r="G5" i="2"/>
  <c r="E6" i="2"/>
  <c r="F6" i="2"/>
  <c r="G6" i="2"/>
  <c r="E7" i="2"/>
  <c r="F7" i="2"/>
  <c r="G7" i="2"/>
  <c r="E8" i="2"/>
  <c r="F8" i="2"/>
  <c r="G8" i="2"/>
  <c r="E9" i="2"/>
  <c r="F9" i="2"/>
  <c r="G9" i="2"/>
  <c r="E10" i="2"/>
  <c r="F10" i="2"/>
  <c r="G10" i="2"/>
  <c r="E11" i="2"/>
  <c r="F11" i="2"/>
  <c r="G11" i="2"/>
  <c r="E12" i="2"/>
  <c r="F12" i="2"/>
  <c r="G12" i="2"/>
  <c r="E13" i="2"/>
  <c r="F13" i="2"/>
  <c r="G13" i="2"/>
  <c r="E14" i="2"/>
  <c r="F14" i="2"/>
  <c r="G14" i="2"/>
  <c r="E15" i="2"/>
  <c r="F15" i="2"/>
  <c r="G15" i="2"/>
  <c r="E16" i="2"/>
  <c r="F16" i="2"/>
  <c r="G16" i="2"/>
  <c r="E17" i="2"/>
  <c r="F17" i="2"/>
  <c r="G17" i="2"/>
  <c r="E18" i="2"/>
  <c r="F18" i="2"/>
  <c r="G18" i="2"/>
  <c r="E19" i="2"/>
  <c r="F19" i="2"/>
  <c r="G19" i="2"/>
  <c r="E20" i="2"/>
  <c r="F20" i="2"/>
  <c r="G20" i="2"/>
  <c r="E21" i="2"/>
  <c r="F21" i="2"/>
  <c r="G21" i="2"/>
  <c r="E22" i="2"/>
  <c r="F22" i="2"/>
  <c r="G22" i="2"/>
  <c r="E23" i="2"/>
  <c r="F23" i="2"/>
  <c r="G23" i="2"/>
  <c r="E24" i="2"/>
  <c r="F24" i="2"/>
  <c r="G24" i="2"/>
  <c r="E25" i="2"/>
  <c r="F25" i="2"/>
  <c r="G25" i="2"/>
  <c r="E26" i="2"/>
  <c r="F26" i="2"/>
  <c r="G26" i="2"/>
  <c r="E27" i="2"/>
  <c r="F27" i="2"/>
  <c r="G27" i="2"/>
  <c r="E28" i="2"/>
  <c r="F28" i="2"/>
  <c r="G28" i="2"/>
  <c r="E29" i="2"/>
  <c r="F29" i="2"/>
  <c r="G29" i="2"/>
  <c r="E30" i="2"/>
  <c r="F30" i="2"/>
  <c r="G30" i="2"/>
  <c r="E31" i="2"/>
  <c r="F31" i="2"/>
  <c r="G31" i="2"/>
  <c r="E32" i="2"/>
  <c r="F32" i="2"/>
  <c r="G32" i="2"/>
  <c r="E33" i="2"/>
  <c r="F33" i="2"/>
  <c r="G33" i="2"/>
  <c r="E34" i="2"/>
  <c r="F34" i="2"/>
  <c r="G34" i="2"/>
  <c r="E35" i="2"/>
  <c r="F35" i="2"/>
  <c r="G35" i="2"/>
  <c r="E36" i="2"/>
  <c r="F36" i="2"/>
  <c r="G36" i="2"/>
  <c r="E37" i="2"/>
  <c r="F37" i="2"/>
  <c r="G37" i="2"/>
  <c r="E38" i="2"/>
  <c r="F38" i="2"/>
  <c r="G38" i="2"/>
  <c r="E39" i="2"/>
  <c r="F39" i="2"/>
  <c r="G39" i="2"/>
  <c r="E40" i="2"/>
  <c r="F40" i="2"/>
  <c r="G40" i="2"/>
  <c r="E41" i="2"/>
  <c r="F41" i="2"/>
  <c r="G41" i="2"/>
  <c r="E42" i="2"/>
  <c r="F42" i="2"/>
  <c r="G42" i="2"/>
  <c r="E43" i="2"/>
  <c r="F43" i="2"/>
  <c r="G43" i="2"/>
  <c r="E44" i="2"/>
  <c r="F44" i="2"/>
  <c r="G44" i="2"/>
  <c r="E45" i="2"/>
  <c r="F45" i="2"/>
  <c r="G45" i="2"/>
  <c r="E46" i="2"/>
  <c r="F46" i="2"/>
  <c r="G46" i="2"/>
  <c r="E47" i="2"/>
  <c r="F47" i="2"/>
  <c r="G47" i="2"/>
  <c r="E48" i="2"/>
  <c r="F48" i="2"/>
  <c r="G48" i="2"/>
  <c r="E49" i="2"/>
  <c r="F49" i="2"/>
  <c r="G49" i="2"/>
  <c r="E50" i="2"/>
  <c r="F50" i="2"/>
  <c r="G50" i="2"/>
  <c r="E51" i="2"/>
  <c r="F51" i="2"/>
  <c r="G51" i="2"/>
  <c r="E52" i="2"/>
  <c r="F52" i="2"/>
  <c r="G52" i="2"/>
  <c r="E53" i="2"/>
  <c r="F53" i="2"/>
  <c r="G53" i="2"/>
  <c r="E54" i="2"/>
  <c r="F54" i="2"/>
  <c r="G54" i="2"/>
  <c r="E55" i="2"/>
  <c r="F55" i="2"/>
  <c r="G55" i="2"/>
  <c r="E56" i="2"/>
  <c r="F56" i="2"/>
  <c r="G56" i="2"/>
  <c r="E57" i="2"/>
  <c r="F57" i="2"/>
  <c r="G57" i="2"/>
  <c r="E58" i="2"/>
  <c r="F58" i="2"/>
  <c r="G58" i="2"/>
  <c r="E59" i="2"/>
  <c r="F59" i="2"/>
  <c r="G59" i="2"/>
  <c r="E60" i="2"/>
  <c r="F60" i="2"/>
  <c r="G60" i="2"/>
  <c r="E61" i="2"/>
  <c r="F61" i="2"/>
  <c r="G61" i="2"/>
  <c r="E62" i="2"/>
  <c r="F62" i="2"/>
  <c r="G62" i="2"/>
  <c r="E63" i="2"/>
  <c r="F63" i="2"/>
  <c r="G63" i="2"/>
  <c r="E64" i="2"/>
  <c r="F64" i="2"/>
  <c r="G64" i="2"/>
  <c r="E65" i="2"/>
  <c r="F65" i="2"/>
  <c r="G65" i="2"/>
  <c r="E66" i="2"/>
  <c r="F66" i="2"/>
  <c r="G66" i="2"/>
  <c r="E67" i="2"/>
  <c r="F67" i="2"/>
  <c r="G67" i="2"/>
  <c r="E68" i="2"/>
  <c r="F68" i="2"/>
  <c r="G68" i="2"/>
  <c r="E69" i="2"/>
  <c r="F69" i="2"/>
  <c r="G69" i="2"/>
  <c r="E70" i="2"/>
  <c r="F70" i="2"/>
  <c r="G70" i="2"/>
  <c r="E71" i="2"/>
  <c r="F71" i="2"/>
  <c r="G71" i="2"/>
  <c r="E72" i="2"/>
  <c r="F72" i="2"/>
  <c r="G72" i="2"/>
  <c r="E73" i="2"/>
  <c r="F73" i="2"/>
  <c r="G73" i="2"/>
  <c r="E74" i="2"/>
  <c r="F74" i="2"/>
  <c r="G74" i="2"/>
  <c r="E75" i="2"/>
  <c r="F75" i="2"/>
  <c r="G75" i="2"/>
  <c r="E76" i="2"/>
  <c r="F76" i="2"/>
  <c r="G76" i="2"/>
  <c r="E77" i="2"/>
  <c r="F77" i="2"/>
  <c r="G77" i="2"/>
  <c r="E78" i="2"/>
  <c r="F78" i="2"/>
  <c r="G78" i="2"/>
  <c r="E79" i="2"/>
  <c r="F79" i="2"/>
  <c r="G79" i="2"/>
  <c r="E80" i="2"/>
  <c r="F80" i="2"/>
  <c r="G80" i="2"/>
  <c r="E81" i="2"/>
  <c r="F81" i="2"/>
  <c r="G81" i="2"/>
  <c r="E82" i="2"/>
  <c r="F82" i="2"/>
  <c r="G82" i="2"/>
  <c r="E83" i="2"/>
  <c r="F83" i="2"/>
  <c r="G83" i="2"/>
  <c r="E84" i="2"/>
  <c r="F84" i="2"/>
  <c r="G84" i="2"/>
  <c r="E85" i="2"/>
  <c r="F85" i="2"/>
  <c r="G85" i="2"/>
  <c r="E86" i="2"/>
  <c r="F86" i="2"/>
  <c r="G86" i="2"/>
  <c r="E87" i="2"/>
  <c r="F87" i="2"/>
  <c r="G87" i="2"/>
  <c r="E88" i="2"/>
  <c r="F88" i="2"/>
  <c r="G88" i="2"/>
  <c r="E89" i="2"/>
  <c r="F89" i="2"/>
  <c r="G89" i="2"/>
  <c r="E90" i="2"/>
  <c r="F90" i="2"/>
  <c r="G90" i="2"/>
  <c r="E91" i="2"/>
  <c r="F91" i="2"/>
  <c r="G91" i="2"/>
  <c r="E92" i="2"/>
  <c r="F92" i="2"/>
  <c r="G92" i="2"/>
  <c r="E93" i="2"/>
  <c r="F93" i="2"/>
  <c r="G93" i="2"/>
  <c r="E94" i="2"/>
  <c r="F94" i="2"/>
  <c r="G94" i="2"/>
  <c r="E95" i="2"/>
  <c r="F95" i="2"/>
  <c r="G95" i="2"/>
  <c r="E96" i="2"/>
  <c r="F96" i="2"/>
  <c r="G96" i="2"/>
  <c r="E97" i="2"/>
  <c r="F97" i="2"/>
  <c r="G97" i="2"/>
  <c r="E98" i="2"/>
  <c r="F98" i="2"/>
  <c r="G98" i="2"/>
  <c r="E99" i="2"/>
  <c r="F99" i="2"/>
  <c r="G99" i="2"/>
  <c r="E100" i="2"/>
  <c r="F100" i="2"/>
  <c r="G100" i="2"/>
  <c r="E101" i="2"/>
  <c r="F101" i="2"/>
  <c r="G101" i="2"/>
  <c r="E102" i="2"/>
  <c r="F102" i="2"/>
  <c r="G102" i="2"/>
  <c r="E103" i="2"/>
  <c r="F103" i="2"/>
  <c r="G103" i="2"/>
  <c r="E104" i="2"/>
  <c r="F104" i="2"/>
  <c r="G104" i="2"/>
  <c r="E105" i="2"/>
  <c r="F105" i="2"/>
  <c r="G105" i="2"/>
  <c r="E106" i="2"/>
  <c r="F106" i="2"/>
  <c r="G106" i="2"/>
  <c r="E107" i="2"/>
  <c r="F107" i="2"/>
  <c r="G107" i="2"/>
  <c r="E108" i="2"/>
  <c r="F108" i="2"/>
  <c r="G108" i="2"/>
  <c r="F3" i="2"/>
  <c r="G3" i="2"/>
  <c r="E3" i="2"/>
  <c r="AI6" i="2" s="1"/>
  <c r="AJ8" i="2" l="1"/>
  <c r="AI8" i="2"/>
  <c r="AK8" i="2"/>
  <c r="AJ6" i="2"/>
  <c r="AI7" i="2"/>
  <c r="AJ7" i="2"/>
  <c r="R4" i="4"/>
  <c r="R16" i="4" s="1"/>
  <c r="H3" i="2"/>
  <c r="K3" i="2"/>
  <c r="K4" i="2" s="1"/>
  <c r="K5" i="2" s="1"/>
  <c r="K6" i="2" s="1"/>
  <c r="K7" i="2" s="1"/>
  <c r="K8" i="2" s="1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K38" i="2" s="1"/>
  <c r="K39" i="2" s="1"/>
  <c r="K40" i="2" s="1"/>
  <c r="K41" i="2" s="1"/>
  <c r="K42" i="2" s="1"/>
  <c r="K43" i="2" s="1"/>
  <c r="K44" i="2" s="1"/>
  <c r="K45" i="2" s="1"/>
  <c r="K46" i="2" s="1"/>
  <c r="K47" i="2" s="1"/>
  <c r="K48" i="2" s="1"/>
  <c r="K49" i="2" s="1"/>
  <c r="K50" i="2" s="1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P4" i="2"/>
  <c r="E110" i="2"/>
  <c r="E111" i="2"/>
  <c r="P5" i="2"/>
  <c r="M3" i="2"/>
  <c r="M4" i="2" s="1"/>
  <c r="M5" i="2" s="1"/>
  <c r="M6" i="2" s="1"/>
  <c r="M7" i="2" s="1"/>
  <c r="M8" i="2" s="1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M38" i="2" s="1"/>
  <c r="M39" i="2" s="1"/>
  <c r="M40" i="2" s="1"/>
  <c r="M41" i="2" s="1"/>
  <c r="M42" i="2" s="1"/>
  <c r="M43" i="2" s="1"/>
  <c r="M44" i="2" s="1"/>
  <c r="M45" i="2" s="1"/>
  <c r="M46" i="2" s="1"/>
  <c r="M47" i="2" s="1"/>
  <c r="M48" i="2" s="1"/>
  <c r="M49" i="2" s="1"/>
  <c r="M50" i="2" s="1"/>
  <c r="M51" i="2" s="1"/>
  <c r="M52" i="2" s="1"/>
  <c r="M53" i="2" s="1"/>
  <c r="M54" i="2" s="1"/>
  <c r="M55" i="2" s="1"/>
  <c r="M56" i="2" s="1"/>
  <c r="M57" i="2" s="1"/>
  <c r="M58" i="2" s="1"/>
  <c r="M59" i="2" s="1"/>
  <c r="M60" i="2" s="1"/>
  <c r="M61" i="2" s="1"/>
  <c r="M62" i="2" s="1"/>
  <c r="M63" i="2" s="1"/>
  <c r="M64" i="2" s="1"/>
  <c r="M65" i="2" s="1"/>
  <c r="M66" i="2" s="1"/>
  <c r="M67" i="2" s="1"/>
  <c r="M68" i="2" s="1"/>
  <c r="M69" i="2" s="1"/>
  <c r="M70" i="2" s="1"/>
  <c r="M71" i="2" s="1"/>
  <c r="M72" i="2" s="1"/>
  <c r="M73" i="2" s="1"/>
  <c r="M74" i="2" s="1"/>
  <c r="M75" i="2" s="1"/>
  <c r="M76" i="2" s="1"/>
  <c r="M77" i="2" s="1"/>
  <c r="M78" i="2" s="1"/>
  <c r="M79" i="2" s="1"/>
  <c r="M80" i="2" s="1"/>
  <c r="M81" i="2" s="1"/>
  <c r="M82" i="2" s="1"/>
  <c r="M83" i="2" s="1"/>
  <c r="M84" i="2" s="1"/>
  <c r="M85" i="2" s="1"/>
  <c r="M86" i="2" s="1"/>
  <c r="M87" i="2" s="1"/>
  <c r="M88" i="2" s="1"/>
  <c r="M89" i="2" s="1"/>
  <c r="M90" i="2" s="1"/>
  <c r="M91" i="2" s="1"/>
  <c r="M92" i="2" s="1"/>
  <c r="M93" i="2" s="1"/>
  <c r="M94" i="2" s="1"/>
  <c r="M95" i="2" s="1"/>
  <c r="M96" i="2" s="1"/>
  <c r="M97" i="2" s="1"/>
  <c r="M98" i="2" s="1"/>
  <c r="M99" i="2" s="1"/>
  <c r="M100" i="2" s="1"/>
  <c r="M101" i="2" s="1"/>
  <c r="M102" i="2" s="1"/>
  <c r="M103" i="2" s="1"/>
  <c r="M104" i="2" s="1"/>
  <c r="M105" i="2" s="1"/>
  <c r="M106" i="2" s="1"/>
  <c r="M107" i="2" s="1"/>
  <c r="M108" i="2" s="1"/>
  <c r="R4" i="2"/>
  <c r="R5" i="2"/>
  <c r="G111" i="2"/>
  <c r="L3" i="2"/>
  <c r="L4" i="2" s="1"/>
  <c r="L5" i="2" s="1"/>
  <c r="L6" i="2" s="1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L38" i="2" s="1"/>
  <c r="L39" i="2" s="1"/>
  <c r="L40" i="2" s="1"/>
  <c r="L41" i="2" s="1"/>
  <c r="L42" i="2" s="1"/>
  <c r="L43" i="2" s="1"/>
  <c r="L44" i="2" s="1"/>
  <c r="L45" i="2" s="1"/>
  <c r="L46" i="2" s="1"/>
  <c r="L47" i="2" s="1"/>
  <c r="L48" i="2" s="1"/>
  <c r="L49" i="2" s="1"/>
  <c r="L50" i="2" s="1"/>
  <c r="L51" i="2" s="1"/>
  <c r="L52" i="2" s="1"/>
  <c r="L53" i="2" s="1"/>
  <c r="L54" i="2" s="1"/>
  <c r="L55" i="2" s="1"/>
  <c r="L56" i="2" s="1"/>
  <c r="L57" i="2" s="1"/>
  <c r="L58" i="2" s="1"/>
  <c r="L59" i="2" s="1"/>
  <c r="L60" i="2" s="1"/>
  <c r="L61" i="2" s="1"/>
  <c r="L62" i="2" s="1"/>
  <c r="L63" i="2" s="1"/>
  <c r="L64" i="2" s="1"/>
  <c r="L65" i="2" s="1"/>
  <c r="L66" i="2" s="1"/>
  <c r="L67" i="2" s="1"/>
  <c r="L68" i="2" s="1"/>
  <c r="L69" i="2" s="1"/>
  <c r="L70" i="2" s="1"/>
  <c r="L71" i="2" s="1"/>
  <c r="L72" i="2" s="1"/>
  <c r="L73" i="2" s="1"/>
  <c r="L74" i="2" s="1"/>
  <c r="L75" i="2" s="1"/>
  <c r="L76" i="2" s="1"/>
  <c r="L77" i="2" s="1"/>
  <c r="L78" i="2" s="1"/>
  <c r="L79" i="2" s="1"/>
  <c r="L80" i="2" s="1"/>
  <c r="L81" i="2" s="1"/>
  <c r="L82" i="2" s="1"/>
  <c r="L83" i="2" s="1"/>
  <c r="L84" i="2" s="1"/>
  <c r="L85" i="2" s="1"/>
  <c r="L86" i="2" s="1"/>
  <c r="L87" i="2" s="1"/>
  <c r="L88" i="2" s="1"/>
  <c r="L89" i="2" s="1"/>
  <c r="L90" i="2" s="1"/>
  <c r="L91" i="2" s="1"/>
  <c r="L92" i="2" s="1"/>
  <c r="L93" i="2" s="1"/>
  <c r="L94" i="2" s="1"/>
  <c r="L95" i="2" s="1"/>
  <c r="L96" i="2" s="1"/>
  <c r="L97" i="2" s="1"/>
  <c r="L98" i="2" s="1"/>
  <c r="L99" i="2" s="1"/>
  <c r="L100" i="2" s="1"/>
  <c r="L101" i="2" s="1"/>
  <c r="L102" i="2" s="1"/>
  <c r="L103" i="2" s="1"/>
  <c r="L104" i="2" s="1"/>
  <c r="L105" i="2" s="1"/>
  <c r="L106" i="2" s="1"/>
  <c r="L107" i="2" s="1"/>
  <c r="L108" i="2" s="1"/>
  <c r="Q4" i="2"/>
  <c r="Q5" i="2"/>
  <c r="F111" i="2"/>
  <c r="T5" i="4"/>
  <c r="T17" i="4" s="1"/>
  <c r="V26" i="4"/>
  <c r="R26" i="4"/>
  <c r="U8" i="4"/>
  <c r="U20" i="4" s="1"/>
  <c r="V8" i="4"/>
  <c r="V20" i="4" s="1"/>
  <c r="S5" i="4"/>
  <c r="S17" i="4" s="1"/>
  <c r="U26" i="4"/>
  <c r="S26" i="4"/>
  <c r="U6" i="4"/>
  <c r="U18" i="4" s="1"/>
  <c r="S6" i="4"/>
  <c r="S18" i="4" s="1"/>
  <c r="U7" i="4"/>
  <c r="U19" i="4" s="1"/>
  <c r="U4" i="4"/>
  <c r="U16" i="4" s="1"/>
  <c r="V5" i="4"/>
  <c r="V17" i="4" s="1"/>
  <c r="T4" i="4"/>
  <c r="T16" i="4" s="1"/>
  <c r="U5" i="4"/>
  <c r="U17" i="4" s="1"/>
  <c r="R8" i="4"/>
  <c r="R20" i="4" s="1"/>
  <c r="S8" i="4"/>
  <c r="S20" i="4" s="1"/>
  <c r="V6" i="4"/>
  <c r="V18" i="4" s="1"/>
  <c r="V7" i="4"/>
  <c r="V19" i="4" s="1"/>
  <c r="R7" i="4"/>
  <c r="R19" i="4" s="1"/>
  <c r="S7" i="4"/>
  <c r="S19" i="4" s="1"/>
  <c r="T8" i="4"/>
  <c r="T20" i="4" s="1"/>
  <c r="R6" i="4"/>
  <c r="R18" i="4" s="1"/>
  <c r="T6" i="4"/>
  <c r="T18" i="4" s="1"/>
  <c r="T26" i="4"/>
  <c r="R5" i="4"/>
  <c r="R17" i="4" s="1"/>
  <c r="S4" i="4"/>
  <c r="S16" i="4" s="1"/>
  <c r="T7" i="4"/>
  <c r="T19" i="4" s="1"/>
  <c r="V4" i="4"/>
  <c r="V16" i="4" s="1"/>
  <c r="H80" i="2"/>
  <c r="H56" i="2"/>
  <c r="H40" i="2"/>
  <c r="H32" i="2"/>
  <c r="H24" i="2"/>
  <c r="H16" i="2"/>
  <c r="H8" i="2"/>
  <c r="H104" i="2"/>
  <c r="H88" i="2"/>
  <c r="H72" i="2"/>
  <c r="F110" i="2"/>
  <c r="H96" i="2"/>
  <c r="H48" i="2"/>
  <c r="G110" i="2"/>
  <c r="H64" i="2"/>
  <c r="H93" i="2"/>
  <c r="H69" i="2"/>
  <c r="H37" i="2"/>
  <c r="H50" i="2"/>
  <c r="H10" i="2"/>
  <c r="H92" i="2"/>
  <c r="H4" i="2"/>
  <c r="H61" i="2"/>
  <c r="H21" i="2"/>
  <c r="H5" i="2"/>
  <c r="H74" i="2"/>
  <c r="H42" i="2"/>
  <c r="H103" i="2"/>
  <c r="H71" i="2"/>
  <c r="H47" i="2"/>
  <c r="H7" i="2"/>
  <c r="H60" i="2"/>
  <c r="H36" i="2"/>
  <c r="H12" i="2"/>
  <c r="H89" i="2"/>
  <c r="H81" i="2"/>
  <c r="H73" i="2"/>
  <c r="H65" i="2"/>
  <c r="H57" i="2"/>
  <c r="H49" i="2"/>
  <c r="H41" i="2"/>
  <c r="H33" i="2"/>
  <c r="H25" i="2"/>
  <c r="H17" i="2"/>
  <c r="H9" i="2"/>
  <c r="H101" i="2"/>
  <c r="H85" i="2"/>
  <c r="H45" i="2"/>
  <c r="H98" i="2"/>
  <c r="H82" i="2"/>
  <c r="H66" i="2"/>
  <c r="H26" i="2"/>
  <c r="H95" i="2"/>
  <c r="H79" i="2"/>
  <c r="H55" i="2"/>
  <c r="H31" i="2"/>
  <c r="H15" i="2"/>
  <c r="H100" i="2"/>
  <c r="H76" i="2"/>
  <c r="H44" i="2"/>
  <c r="H20" i="2"/>
  <c r="H105" i="2"/>
  <c r="H102" i="2"/>
  <c r="H94" i="2"/>
  <c r="H86" i="2"/>
  <c r="H78" i="2"/>
  <c r="H70" i="2"/>
  <c r="H62" i="2"/>
  <c r="H54" i="2"/>
  <c r="H46" i="2"/>
  <c r="H38" i="2"/>
  <c r="H30" i="2"/>
  <c r="H22" i="2"/>
  <c r="H14" i="2"/>
  <c r="H6" i="2"/>
  <c r="H77" i="2"/>
  <c r="H53" i="2"/>
  <c r="H29" i="2"/>
  <c r="H13" i="2"/>
  <c r="H106" i="2"/>
  <c r="H90" i="2"/>
  <c r="H58" i="2"/>
  <c r="H34" i="2"/>
  <c r="H18" i="2"/>
  <c r="H87" i="2"/>
  <c r="H63" i="2"/>
  <c r="H39" i="2"/>
  <c r="H23" i="2"/>
  <c r="H108" i="2"/>
  <c r="H84" i="2"/>
  <c r="H68" i="2"/>
  <c r="H52" i="2"/>
  <c r="H28" i="2"/>
  <c r="H97" i="2"/>
  <c r="J3" i="2"/>
  <c r="H107" i="2"/>
  <c r="H99" i="2"/>
  <c r="H91" i="2"/>
  <c r="H83" i="2"/>
  <c r="H75" i="2"/>
  <c r="H67" i="2"/>
  <c r="H59" i="2"/>
  <c r="H51" i="2"/>
  <c r="H43" i="2"/>
  <c r="H35" i="2"/>
  <c r="H27" i="2"/>
  <c r="H19" i="2"/>
  <c r="H11" i="2"/>
  <c r="J4" i="2" l="1"/>
  <c r="J5" i="2" s="1"/>
  <c r="J6" i="2" s="1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AA5" i="2"/>
  <c r="AA14" i="2"/>
  <c r="Z5" i="2"/>
  <c r="Z14" i="2"/>
  <c r="AB14" i="2" s="1"/>
  <c r="AA15" i="2"/>
  <c r="AA6" i="2"/>
  <c r="Z6" i="2"/>
  <c r="Z15" i="2"/>
  <c r="AA4" i="2"/>
  <c r="V6" i="2"/>
  <c r="Z4" i="2"/>
  <c r="H110" i="2"/>
  <c r="S4" i="2"/>
  <c r="S5" i="2"/>
  <c r="V5" i="2" s="1"/>
  <c r="H111" i="2"/>
  <c r="AB5" i="2" l="1"/>
  <c r="AB6" i="2"/>
  <c r="Z17" i="2"/>
  <c r="Z7" i="2"/>
  <c r="AC15" i="2"/>
  <c r="AA17" i="2"/>
  <c r="AA7" i="2"/>
  <c r="AB15" i="2"/>
  <c r="AB4" i="2"/>
  <c r="V8" i="2"/>
  <c r="V7" i="2"/>
  <c r="AB17" i="2" l="1"/>
  <c r="AB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<sst xmlns="http://schemas.openxmlformats.org/spreadsheetml/2006/main" count="974" uniqueCount="206">
  <si>
    <t>Budapest Stock Exchange Historical data download</t>
  </si>
  <si>
    <t/>
  </si>
  <si>
    <t>Start date:</t>
  </si>
  <si>
    <t>12.06.2025.</t>
  </si>
  <si>
    <t>End date:</t>
  </si>
  <si>
    <t>12.11.2025.</t>
  </si>
  <si>
    <t>Name</t>
  </si>
  <si>
    <t>Date</t>
  </si>
  <si>
    <t>Last price</t>
  </si>
  <si>
    <t>Quantity</t>
  </si>
  <si>
    <t>MASTERPLAST</t>
  </si>
  <si>
    <t>13.06.2025.</t>
  </si>
  <si>
    <t>16.06.2025.</t>
  </si>
  <si>
    <t>17.06.2025.</t>
  </si>
  <si>
    <t>18.06.2025.</t>
  </si>
  <si>
    <t>19.06.2025.</t>
  </si>
  <si>
    <t>20.06.2025.</t>
  </si>
  <si>
    <t>23.06.2025.</t>
  </si>
  <si>
    <t>24.06.2025.</t>
  </si>
  <si>
    <t>25.06.2025.</t>
  </si>
  <si>
    <t>26.06.2025.</t>
  </si>
  <si>
    <t>27.06.2025.</t>
  </si>
  <si>
    <t>30.06.2025.</t>
  </si>
  <si>
    <t>01.07.2025.</t>
  </si>
  <si>
    <t>02.07.2025.</t>
  </si>
  <si>
    <t>03.07.2025.</t>
  </si>
  <si>
    <t>04.07.2025.</t>
  </si>
  <si>
    <t>07.07.2025.</t>
  </si>
  <si>
    <t>08.07.2025.</t>
  </si>
  <si>
    <t>09.07.2025.</t>
  </si>
  <si>
    <t>10.07.2025.</t>
  </si>
  <si>
    <t>11.07.2025.</t>
  </si>
  <si>
    <t>14.07.2025.</t>
  </si>
  <si>
    <t>15.07.2025.</t>
  </si>
  <si>
    <t>16.07.2025.</t>
  </si>
  <si>
    <t>17.07.2025.</t>
  </si>
  <si>
    <t>18.07.2025.</t>
  </si>
  <si>
    <t>21.07.2025.</t>
  </si>
  <si>
    <t>22.07.2025.</t>
  </si>
  <si>
    <t>23.07.2025.</t>
  </si>
  <si>
    <t>24.07.2025.</t>
  </si>
  <si>
    <t>25.07.2025.</t>
  </si>
  <si>
    <t>28.07.2025.</t>
  </si>
  <si>
    <t>29.07.2025.</t>
  </si>
  <si>
    <t>30.07.2025.</t>
  </si>
  <si>
    <t>31.07.2025.</t>
  </si>
  <si>
    <t>01.08.2025.</t>
  </si>
  <si>
    <t>04.08.2025.</t>
  </si>
  <si>
    <t>05.08.2025.</t>
  </si>
  <si>
    <t>06.08.2025.</t>
  </si>
  <si>
    <t>07.08.2025.</t>
  </si>
  <si>
    <t>08.08.2025.</t>
  </si>
  <si>
    <t>11.08.2025.</t>
  </si>
  <si>
    <t>12.08.2025.</t>
  </si>
  <si>
    <t>13.08.2025.</t>
  </si>
  <si>
    <t>14.08.2025.</t>
  </si>
  <si>
    <t>15.08.2025.</t>
  </si>
  <si>
    <t>18.08.2025.</t>
  </si>
  <si>
    <t>19.08.2025.</t>
  </si>
  <si>
    <t>21.08.2025.</t>
  </si>
  <si>
    <t>22.08.2025.</t>
  </si>
  <si>
    <t>25.08.2025.</t>
  </si>
  <si>
    <t>26.08.2025.</t>
  </si>
  <si>
    <t>27.08.2025.</t>
  </si>
  <si>
    <t>28.08.2025.</t>
  </si>
  <si>
    <t>29.08.2025.</t>
  </si>
  <si>
    <t>01.09.2025.</t>
  </si>
  <si>
    <t>02.09.2025.</t>
  </si>
  <si>
    <t>03.09.2025.</t>
  </si>
  <si>
    <t>04.09.2025.</t>
  </si>
  <si>
    <t>05.09.2025.</t>
  </si>
  <si>
    <t>08.09.2025.</t>
  </si>
  <si>
    <t>09.09.2025.</t>
  </si>
  <si>
    <t>10.09.2025.</t>
  </si>
  <si>
    <t>11.09.2025.</t>
  </si>
  <si>
    <t>12.09.2025.</t>
  </si>
  <si>
    <t>15.09.2025.</t>
  </si>
  <si>
    <t>16.09.2025.</t>
  </si>
  <si>
    <t>17.09.2025.</t>
  </si>
  <si>
    <t>18.09.2025.</t>
  </si>
  <si>
    <t>19.09.2025.</t>
  </si>
  <si>
    <t>22.09.2025.</t>
  </si>
  <si>
    <t>23.09.2025.</t>
  </si>
  <si>
    <t>24.09.2025.</t>
  </si>
  <si>
    <t>25.09.2025.</t>
  </si>
  <si>
    <t>26.09.2025.</t>
  </si>
  <si>
    <t>29.09.2025.</t>
  </si>
  <si>
    <t>30.09.2025.</t>
  </si>
  <si>
    <t>01.10.2025.</t>
  </si>
  <si>
    <t>02.10.2025.</t>
  </si>
  <si>
    <t>03.10.2025.</t>
  </si>
  <si>
    <t>06.10.2025.</t>
  </si>
  <si>
    <t>07.10.2025.</t>
  </si>
  <si>
    <t>08.10.2025.</t>
  </si>
  <si>
    <t>09.10.2025.</t>
  </si>
  <si>
    <t>10.10.2025.</t>
  </si>
  <si>
    <t>13.10.2025.</t>
  </si>
  <si>
    <t>14.10.2025.</t>
  </si>
  <si>
    <t>15.10.2025.</t>
  </si>
  <si>
    <t>16.10.2025.</t>
  </si>
  <si>
    <t>17.10.2025.</t>
  </si>
  <si>
    <t>20.10.2025.</t>
  </si>
  <si>
    <t>21.10.2025.</t>
  </si>
  <si>
    <t>22.10.2025.</t>
  </si>
  <si>
    <t>27.10.2025.</t>
  </si>
  <si>
    <t>28.10.2025.</t>
  </si>
  <si>
    <t>29.10.2025.</t>
  </si>
  <si>
    <t>30.10.2025.</t>
  </si>
  <si>
    <t>31.10.2025.</t>
  </si>
  <si>
    <t>03.11.2025.</t>
  </si>
  <si>
    <t>04.11.2025.</t>
  </si>
  <si>
    <t>05.11.2025.</t>
  </si>
  <si>
    <t>06.11.2025.</t>
  </si>
  <si>
    <t>07.11.2025.</t>
  </si>
  <si>
    <t>10.11.2025.</t>
  </si>
  <si>
    <t>11.11.2025.</t>
  </si>
  <si>
    <t>MOL</t>
  </si>
  <si>
    <t>MTELEKOM</t>
  </si>
  <si>
    <t>price1</t>
  </si>
  <si>
    <t>price2</t>
  </si>
  <si>
    <t>price3</t>
  </si>
  <si>
    <t>logret1</t>
  </si>
  <si>
    <t>logret2</t>
  </si>
  <si>
    <t>logret3</t>
  </si>
  <si>
    <t>Portfolio weight</t>
  </si>
  <si>
    <t>logret_portfolio</t>
  </si>
  <si>
    <t>value_portfolio</t>
  </si>
  <si>
    <t>value_1</t>
  </si>
  <si>
    <t>value_2</t>
  </si>
  <si>
    <t>value_3</t>
  </si>
  <si>
    <t>e</t>
  </si>
  <si>
    <t>portfolio weights</t>
  </si>
  <si>
    <t>Mean_logret:</t>
  </si>
  <si>
    <t xml:space="preserve">Standard Deviation logret: </t>
  </si>
  <si>
    <t>Maximum risk:</t>
  </si>
  <si>
    <t>TASK 1</t>
  </si>
  <si>
    <t>return</t>
  </si>
  <si>
    <t>risk</t>
  </si>
  <si>
    <t>probability</t>
  </si>
  <si>
    <t>w</t>
  </si>
  <si>
    <t>stock 1</t>
  </si>
  <si>
    <t>stock 2</t>
  </si>
  <si>
    <t>portfolio</t>
  </si>
  <si>
    <t>correlation</t>
  </si>
  <si>
    <t>stock 3</t>
  </si>
  <si>
    <t>st.dev.</t>
  </si>
  <si>
    <t xml:space="preserve">variance: </t>
  </si>
  <si>
    <t>average return:</t>
  </si>
  <si>
    <t xml:space="preserve">Portfolio data: </t>
  </si>
  <si>
    <t>average return</t>
  </si>
  <si>
    <t>stock 5</t>
  </si>
  <si>
    <t>stock 4</t>
  </si>
  <si>
    <t>Covariance matrix</t>
  </si>
  <si>
    <t>return_5</t>
  </si>
  <si>
    <t>return_4</t>
  </si>
  <si>
    <t>return_3</t>
  </si>
  <si>
    <t>return_2</t>
  </si>
  <si>
    <t>return_1</t>
  </si>
  <si>
    <t>date</t>
  </si>
  <si>
    <t>Correlation matrix</t>
  </si>
  <si>
    <t>price_5</t>
  </si>
  <si>
    <t>price_4</t>
  </si>
  <si>
    <t>price_3</t>
  </si>
  <si>
    <t>price_2</t>
  </si>
  <si>
    <t>price_1</t>
  </si>
  <si>
    <t>probability:</t>
  </si>
  <si>
    <t>probability %:</t>
  </si>
  <si>
    <t>Answer (task 1)</t>
  </si>
  <si>
    <t>Minimum portfolio risk:</t>
  </si>
  <si>
    <t>Portfolio</t>
  </si>
  <si>
    <t>w₁</t>
  </si>
  <si>
    <t>w₂</t>
  </si>
  <si>
    <t>w₃</t>
  </si>
  <si>
    <t>A</t>
  </si>
  <si>
    <t>0.23</t>
  </si>
  <si>
    <t>0.35</t>
  </si>
  <si>
    <t>0.42</t>
  </si>
  <si>
    <t>0.007233</t>
  </si>
  <si>
    <t>0.723%</t>
  </si>
  <si>
    <t>B</t>
  </si>
  <si>
    <t>0.39</t>
  </si>
  <si>
    <t>0.41</t>
  </si>
  <si>
    <t>0.20</t>
  </si>
  <si>
    <t>0.007986</t>
  </si>
  <si>
    <t>0.799%</t>
  </si>
  <si>
    <t>C</t>
  </si>
  <si>
    <t>0.50</t>
  </si>
  <si>
    <t>0.44</t>
  </si>
  <si>
    <t>0.06</t>
  </si>
  <si>
    <t>0.009192</t>
  </si>
  <si>
    <t>0.919%</t>
  </si>
  <si>
    <t>D</t>
  </si>
  <si>
    <t>0.69</t>
  </si>
  <si>
    <t>0.29</t>
  </si>
  <si>
    <t>0.02</t>
  </si>
  <si>
    <t>0.011292</t>
  </si>
  <si>
    <t>1.129%</t>
  </si>
  <si>
    <t>E</t>
  </si>
  <si>
    <t>1.00</t>
  </si>
  <si>
    <t>0.00</t>
  </si>
  <si>
    <t>0.015895</t>
  </si>
  <si>
    <t>1.590%</t>
  </si>
  <si>
    <t>some cases</t>
  </si>
  <si>
    <t>(not all)</t>
  </si>
  <si>
    <t>stdev</t>
  </si>
  <si>
    <t>st dev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</si>
</sst>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#"/>
    <numFmt numFmtId="165" formatCode="0.0000"/>
    <numFmt numFmtId="166" formatCode="0.00000"/>
    <numFmt numFmtId="167" formatCode="0.000000"/>
    <numFmt numFmtId="168" formatCode="0.00000000"/>
    <numFmt numFmtId="169" formatCode="0.0000000000"/>
  </numFmts>
  <fonts count="15" x14ac:knownFonts="1">
    <font>
      <sz val="11"/>
      <color indexed="8"/>
      <name val="Calibri"/>
      <family val="2"/>
      <scheme val="minor"/>
    </font>
    <font>
      <b/>
      <sz val="16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36"/>
      <color rgb="FF000000"/>
      <name val="Calibri"/>
      <family val="2"/>
      <scheme val="minor"/>
    </font>
    <font>
      <sz val="14"/>
      <color indexed="8"/>
      <name val="Calibri"/>
      <family val="2"/>
      <scheme val="minor"/>
    </font>
    <font>
      <sz val="16"/>
      <color indexed="8"/>
      <name val="Calibri"/>
      <family val="2"/>
      <scheme val="minor"/>
    </font>
    <font>
      <sz val="18"/>
      <color indexed="8"/>
      <name val="Calibri"/>
      <family val="2"/>
      <scheme val="minor"/>
    </font>
    <font>
      <sz val="11"/>
      <color indexed="8"/>
      <name val="Calibri"/>
      <family val="2"/>
      <charset val="238"/>
      <scheme val="minor"/>
    </font>
    <font>
      <sz val="11"/>
      <name val="Calibri"/>
      <family val="2"/>
      <charset val="238"/>
    </font>
    <font>
      <b/>
      <sz val="11"/>
      <color rgb="FFFF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232157"/>
      </patternFill>
    </fill>
    <fill>
      <patternFill patternType="none">
        <fgColor rgb="FF808080"/>
      </patternFill>
    </fill>
    <fill>
      <patternFill patternType="solid">
        <fgColor rgb="FF80808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808080"/>
      </patternFill>
    </fill>
    <fill>
      <patternFill patternType="solid">
        <fgColor theme="9" tint="0.59999389629810485"/>
        <bgColor rgb="FF80808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3" borderId="0"/>
    <xf numFmtId="0" fontId="6" fillId="3" borderId="0"/>
    <xf numFmtId="9" fontId="6" fillId="0" borderId="0" applyFont="0" applyFill="0" applyBorder="0" applyAlignment="0" applyProtection="0"/>
  </cellStyleXfs>
  <cellXfs count="91">
    <xf numFmtId="0" fontId="0" fillId="0" borderId="0" xfId="0"/>
    <xf numFmtId="164" fontId="0" fillId="0" borderId="0" xfId="0" applyNumberFormat="1"/>
    <xf numFmtId="4" fontId="2" fillId="2" borderId="0" xfId="0" applyNumberFormat="1" applyFont="1" applyFill="1" applyAlignment="1">
      <alignment horizontal="center"/>
    </xf>
    <xf numFmtId="4" fontId="3" fillId="4" borderId="0" xfId="0" applyNumberFormat="1" applyFont="1" applyFill="1" applyAlignment="1">
      <alignment horizontal="center"/>
    </xf>
    <xf numFmtId="0" fontId="6" fillId="3" borderId="0" xfId="2"/>
    <xf numFmtId="0" fontId="6" fillId="5" borderId="1" xfId="2" applyFill="1" applyBorder="1"/>
    <xf numFmtId="0" fontId="6" fillId="6" borderId="1" xfId="2" applyFill="1" applyBorder="1"/>
    <xf numFmtId="164" fontId="6" fillId="3" borderId="0" xfId="2" applyNumberFormat="1"/>
    <xf numFmtId="0" fontId="6" fillId="7" borderId="1" xfId="2" applyFill="1" applyBorder="1"/>
    <xf numFmtId="0" fontId="6" fillId="3" borderId="1" xfId="2" applyBorder="1"/>
    <xf numFmtId="2" fontId="6" fillId="5" borderId="1" xfId="2" applyNumberFormat="1" applyFill="1" applyBorder="1"/>
    <xf numFmtId="0" fontId="0" fillId="0" borderId="1" xfId="0" applyBorder="1"/>
    <xf numFmtId="0" fontId="7" fillId="8" borderId="1" xfId="0" applyFont="1" applyFill="1" applyBorder="1"/>
    <xf numFmtId="164" fontId="0" fillId="8" borderId="1" xfId="0" applyNumberFormat="1" applyFill="1" applyBorder="1"/>
    <xf numFmtId="0" fontId="7" fillId="9" borderId="1" xfId="0" applyFont="1" applyFill="1" applyBorder="1"/>
    <xf numFmtId="0" fontId="0" fillId="9" borderId="1" xfId="0" applyFill="1" applyBorder="1"/>
    <xf numFmtId="0" fontId="7" fillId="10" borderId="1" xfId="0" applyFont="1" applyFill="1" applyBorder="1"/>
    <xf numFmtId="0" fontId="0" fillId="10" borderId="1" xfId="0" applyFill="1" applyBorder="1"/>
    <xf numFmtId="2" fontId="0" fillId="10" borderId="1" xfId="0" applyNumberFormat="1" applyFill="1" applyBorder="1"/>
    <xf numFmtId="0" fontId="0" fillId="11" borderId="1" xfId="0" applyFill="1" applyBorder="1"/>
    <xf numFmtId="0" fontId="0" fillId="11" borderId="0" xfId="0" applyFill="1"/>
    <xf numFmtId="0" fontId="0" fillId="6" borderId="1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9" fontId="0" fillId="6" borderId="1" xfId="0" applyNumberFormat="1" applyFill="1" applyBorder="1" applyAlignment="1">
      <alignment horizontal="center"/>
    </xf>
    <xf numFmtId="9" fontId="0" fillId="6" borderId="3" xfId="0" applyNumberFormat="1" applyFill="1" applyBorder="1" applyAlignment="1">
      <alignment horizontal="center"/>
    </xf>
    <xf numFmtId="0" fontId="0" fillId="5" borderId="1" xfId="0" applyFill="1" applyBorder="1"/>
    <xf numFmtId="0" fontId="0" fillId="7" borderId="1" xfId="0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165" fontId="11" fillId="13" borderId="1" xfId="0" applyNumberFormat="1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5" fontId="6" fillId="3" borderId="0" xfId="2" applyNumberFormat="1"/>
    <xf numFmtId="165" fontId="6" fillId="5" borderId="1" xfId="2" applyNumberFormat="1" applyFill="1" applyBorder="1" applyAlignment="1">
      <alignment horizontal="center"/>
    </xf>
    <xf numFmtId="164" fontId="6" fillId="3" borderId="1" xfId="2" applyNumberFormat="1" applyBorder="1" applyAlignment="1">
      <alignment horizontal="center"/>
    </xf>
    <xf numFmtId="164" fontId="6" fillId="3" borderId="0" xfId="2" applyNumberFormat="1" applyAlignment="1">
      <alignment horizontal="center"/>
    </xf>
    <xf numFmtId="2" fontId="6" fillId="3" borderId="1" xfId="2" applyNumberFormat="1" applyBorder="1" applyAlignment="1">
      <alignment horizontal="center"/>
    </xf>
    <xf numFmtId="0" fontId="6" fillId="3" borderId="1" xfId="2" applyBorder="1" applyAlignment="1">
      <alignment horizontal="center"/>
    </xf>
    <xf numFmtId="166" fontId="6" fillId="3" borderId="1" xfId="2" applyNumberFormat="1" applyBorder="1"/>
    <xf numFmtId="166" fontId="6" fillId="3" borderId="1" xfId="2" applyNumberFormat="1" applyBorder="1" applyAlignment="1">
      <alignment horizontal="center"/>
    </xf>
    <xf numFmtId="167" fontId="6" fillId="5" borderId="1" xfId="2" applyNumberFormat="1" applyFill="1" applyBorder="1" applyAlignment="1">
      <alignment horizontal="center"/>
    </xf>
    <xf numFmtId="0" fontId="6" fillId="3" borderId="0" xfId="2" applyAlignment="1">
      <alignment horizontal="center"/>
    </xf>
    <xf numFmtId="2" fontId="6" fillId="6" borderId="1" xfId="2" applyNumberFormat="1" applyFill="1" applyBorder="1" applyAlignment="1">
      <alignment horizontal="center"/>
    </xf>
    <xf numFmtId="165" fontId="6" fillId="3" borderId="1" xfId="2" applyNumberFormat="1" applyBorder="1" applyAlignment="1">
      <alignment horizontal="center"/>
    </xf>
    <xf numFmtId="0" fontId="12" fillId="3" borderId="1" xfId="2" applyFont="1" applyBorder="1" applyAlignment="1">
      <alignment horizontal="center"/>
    </xf>
    <xf numFmtId="0" fontId="12" fillId="3" borderId="0" xfId="2" applyFont="1" applyAlignment="1">
      <alignment horizontal="center"/>
    </xf>
    <xf numFmtId="0" fontId="12" fillId="3" borderId="2" xfId="2" applyFont="1" applyBorder="1" applyAlignment="1">
      <alignment horizontal="center"/>
    </xf>
    <xf numFmtId="4" fontId="13" fillId="3" borderId="1" xfId="2" applyNumberFormat="1" applyFont="1" applyBorder="1" applyAlignment="1">
      <alignment horizontal="center"/>
    </xf>
    <xf numFmtId="0" fontId="6" fillId="3" borderId="0" xfId="2" applyBorder="1" applyAlignment="1">
      <alignment horizontal="center"/>
    </xf>
    <xf numFmtId="0" fontId="6" fillId="3" borderId="0" xfId="2" applyBorder="1"/>
    <xf numFmtId="165" fontId="6" fillId="3" borderId="0" xfId="2" applyNumberFormat="1" applyBorder="1" applyAlignment="1">
      <alignment horizontal="center"/>
    </xf>
    <xf numFmtId="165" fontId="6" fillId="0" borderId="0" xfId="2" applyNumberFormat="1" applyFill="1" applyBorder="1" applyAlignment="1">
      <alignment horizontal="center"/>
    </xf>
    <xf numFmtId="0" fontId="0" fillId="12" borderId="1" xfId="0" applyFill="1" applyBorder="1"/>
    <xf numFmtId="0" fontId="10" fillId="12" borderId="1" xfId="0" applyFont="1" applyFill="1" applyBorder="1"/>
    <xf numFmtId="0" fontId="0" fillId="14" borderId="1" xfId="0" applyFill="1" applyBorder="1"/>
    <xf numFmtId="10" fontId="0" fillId="14" borderId="1" xfId="3" applyNumberFormat="1" applyFont="1" applyFill="1" applyBorder="1"/>
    <xf numFmtId="0" fontId="0" fillId="16" borderId="1" xfId="0" applyFill="1" applyBorder="1"/>
    <xf numFmtId="0" fontId="6" fillId="0" borderId="0" xfId="2" applyFill="1" applyBorder="1" applyAlignment="1">
      <alignment horizontal="center"/>
    </xf>
    <xf numFmtId="0" fontId="6" fillId="0" borderId="0" xfId="2" applyFill="1" applyBorder="1"/>
    <xf numFmtId="2" fontId="6" fillId="0" borderId="0" xfId="2" applyNumberFormat="1" applyFill="1" applyBorder="1" applyAlignment="1">
      <alignment horizontal="center"/>
    </xf>
    <xf numFmtId="0" fontId="0" fillId="0" borderId="0" xfId="0" applyFill="1" applyBorder="1"/>
    <xf numFmtId="2" fontId="6" fillId="6" borderId="3" xfId="2" applyNumberFormat="1" applyFill="1" applyBorder="1" applyAlignment="1">
      <alignment horizontal="center"/>
    </xf>
    <xf numFmtId="167" fontId="6" fillId="0" borderId="0" xfId="2" applyNumberFormat="1" applyFill="1" applyBorder="1" applyAlignment="1">
      <alignment horizontal="center"/>
    </xf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0" fontId="14" fillId="8" borderId="1" xfId="0" applyFont="1" applyFill="1" applyBorder="1"/>
    <xf numFmtId="0" fontId="0" fillId="6" borderId="0" xfId="0" applyFill="1"/>
    <xf numFmtId="0" fontId="0" fillId="0" borderId="0" xfId="0" applyFill="1"/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6" fillId="6" borderId="0" xfId="2" applyFill="1"/>
    <xf numFmtId="0" fontId="6" fillId="17" borderId="0" xfId="2" applyFill="1"/>
    <xf numFmtId="0" fontId="6" fillId="17" borderId="0" xfId="2" applyFill="1" applyAlignment="1">
      <alignment horizontal="center"/>
    </xf>
    <xf numFmtId="165" fontId="6" fillId="17" borderId="1" xfId="2" applyNumberFormat="1" applyFill="1" applyBorder="1" applyAlignment="1">
      <alignment horizontal="center"/>
    </xf>
    <xf numFmtId="165" fontId="6" fillId="17" borderId="5" xfId="2" applyNumberFormat="1" applyFill="1" applyBorder="1" applyAlignment="1">
      <alignment horizontal="center"/>
    </xf>
    <xf numFmtId="0" fontId="7" fillId="6" borderId="0" xfId="2" applyFont="1" applyFill="1"/>
    <xf numFmtId="0" fontId="6" fillId="6" borderId="1" xfId="2" applyFill="1" applyBorder="1" applyAlignment="1">
      <alignment horizontal="center"/>
    </xf>
    <xf numFmtId="165" fontId="6" fillId="6" borderId="1" xfId="2" applyNumberFormat="1" applyFill="1" applyBorder="1" applyAlignment="1">
      <alignment horizontal="center"/>
    </xf>
    <xf numFmtId="168" fontId="6" fillId="0" borderId="1" xfId="2" applyNumberFormat="1" applyFill="1" applyBorder="1" applyAlignment="1">
      <alignment horizontal="center"/>
    </xf>
    <xf numFmtId="0" fontId="6" fillId="18" borderId="0" xfId="2" applyFill="1"/>
    <xf numFmtId="0" fontId="6" fillId="18" borderId="0" xfId="2" applyFill="1" applyAlignment="1">
      <alignment horizontal="center"/>
    </xf>
    <xf numFmtId="165" fontId="6" fillId="10" borderId="1" xfId="2" applyNumberFormat="1" applyFill="1" applyBorder="1" applyAlignment="1">
      <alignment horizontal="center"/>
    </xf>
    <xf numFmtId="168" fontId="6" fillId="10" borderId="1" xfId="2" applyNumberFormat="1" applyFill="1" applyBorder="1" applyAlignment="1">
      <alignment horizontal="center"/>
    </xf>
    <xf numFmtId="169" fontId="6" fillId="10" borderId="1" xfId="2" applyNumberFormat="1" applyFill="1" applyBorder="1" applyAlignment="1">
      <alignment horizontal="center"/>
    </xf>
    <xf numFmtId="0" fontId="7" fillId="18" borderId="0" xfId="2" applyFont="1" applyFill="1"/>
    <xf numFmtId="166" fontId="0" fillId="0" borderId="1" xfId="0" applyNumberFormat="1" applyBorder="1" applyAlignment="1">
      <alignment horizontal="center"/>
    </xf>
    <xf numFmtId="4" fontId="1" fillId="2" borderId="0" xfId="0" applyNumberFormat="1" applyFont="1" applyFill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15" borderId="4" xfId="0" applyFont="1" applyFill="1" applyBorder="1" applyAlignment="1">
      <alignment horizontal="center"/>
    </xf>
    <xf numFmtId="0" fontId="0" fillId="16" borderId="0" xfId="0" applyFill="1" applyAlignment="1">
      <alignment horizontal="left" vertical="top" wrapText="1"/>
    </xf>
    <xf numFmtId="0" fontId="0" fillId="14" borderId="0" xfId="0" applyFill="1" applyAlignment="1">
      <alignment horizontal="center" vertical="center" wrapText="1"/>
    </xf>
  </cellXfs>
  <cellStyles count="4">
    <cellStyle name="Normal" xfId="0" builtinId="0"/>
    <cellStyle name="Normal 2" xfId="1" xr:uid="{983F7877-5CD0-46B5-8577-95854D9A9528}"/>
    <cellStyle name="Normal 3" xfId="2" xr:uid="{158AA828-8E9E-4EBB-9373-BD672271E095}"/>
    <cellStyle name="Percent" xfId="3" builtinId="5"/>
  </cellStyles>
  <dxfs count="0"/>
  <tableStyles count="0" defaultTableStyle="TableStyleMedium2" defaultPivotStyle="PivotStyleLight16"/>
  <colors>
    <mruColors>
      <color rgb="FF00FF00"/>
      <color rgb="FFFF66FF"/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Hw_task1!$J$1</c:f>
              <c:strCache>
                <c:ptCount val="1"/>
                <c:pt idx="0">
                  <c:v>value_portfolio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Hw_task1!$J$2:$J$108</c:f>
              <c:numCache>
                <c:formatCode>0.00</c:formatCode>
                <c:ptCount val="107"/>
                <c:pt idx="0" formatCode="General">
                  <c:v>100</c:v>
                </c:pt>
                <c:pt idx="1">
                  <c:v>102.80257653011058</c:v>
                </c:pt>
                <c:pt idx="2">
                  <c:v>102.66675741103921</c:v>
                </c:pt>
                <c:pt idx="3">
                  <c:v>102.48508188661717</c:v>
                </c:pt>
                <c:pt idx="4">
                  <c:v>102.28556545280152</c:v>
                </c:pt>
                <c:pt idx="5">
                  <c:v>102.70463567047099</c:v>
                </c:pt>
                <c:pt idx="6">
                  <c:v>102.67757692294478</c:v>
                </c:pt>
                <c:pt idx="7">
                  <c:v>102.18743593742133</c:v>
                </c:pt>
                <c:pt idx="8">
                  <c:v>101.68783655026418</c:v>
                </c:pt>
                <c:pt idx="9">
                  <c:v>103.29064706482309</c:v>
                </c:pt>
                <c:pt idx="10">
                  <c:v>102.99603349993453</c:v>
                </c:pt>
                <c:pt idx="11">
                  <c:v>102.34727549902642</c:v>
                </c:pt>
                <c:pt idx="12">
                  <c:v>102.48343217939799</c:v>
                </c:pt>
                <c:pt idx="13">
                  <c:v>105.82422756827712</c:v>
                </c:pt>
                <c:pt idx="14">
                  <c:v>108.00551056418635</c:v>
                </c:pt>
                <c:pt idx="15">
                  <c:v>108.65608147294043</c:v>
                </c:pt>
                <c:pt idx="16">
                  <c:v>108.48025749375837</c:v>
                </c:pt>
                <c:pt idx="17">
                  <c:v>107.88656059371286</c:v>
                </c:pt>
                <c:pt idx="18">
                  <c:v>107.28392202217974</c:v>
                </c:pt>
                <c:pt idx="19">
                  <c:v>107.6245471589138</c:v>
                </c:pt>
                <c:pt idx="20">
                  <c:v>108.72794402353429</c:v>
                </c:pt>
                <c:pt idx="21">
                  <c:v>110.63710848586126</c:v>
                </c:pt>
                <c:pt idx="22">
                  <c:v>113.79769005670991</c:v>
                </c:pt>
                <c:pt idx="23">
                  <c:v>112.90395235971752</c:v>
                </c:pt>
                <c:pt idx="24">
                  <c:v>111.61314421938826</c:v>
                </c:pt>
                <c:pt idx="25">
                  <c:v>112.57043695428523</c:v>
                </c:pt>
                <c:pt idx="26">
                  <c:v>113.14318199931731</c:v>
                </c:pt>
                <c:pt idx="27">
                  <c:v>113.12204092579972</c:v>
                </c:pt>
                <c:pt idx="28">
                  <c:v>112.10564766079841</c:v>
                </c:pt>
                <c:pt idx="29">
                  <c:v>111.65254402197473</c:v>
                </c:pt>
                <c:pt idx="30">
                  <c:v>111.55346463634388</c:v>
                </c:pt>
                <c:pt idx="31">
                  <c:v>111.37687826510657</c:v>
                </c:pt>
                <c:pt idx="32">
                  <c:v>112.28607230153474</c:v>
                </c:pt>
                <c:pt idx="33">
                  <c:v>111.4972491846529</c:v>
                </c:pt>
                <c:pt idx="34">
                  <c:v>111.90370277775439</c:v>
                </c:pt>
                <c:pt idx="35">
                  <c:v>111.98535062591378</c:v>
                </c:pt>
                <c:pt idx="36">
                  <c:v>110.53629943563453</c:v>
                </c:pt>
                <c:pt idx="37">
                  <c:v>111.0311380193908</c:v>
                </c:pt>
                <c:pt idx="38">
                  <c:v>111.03625827325897</c:v>
                </c:pt>
                <c:pt idx="39">
                  <c:v>110.6618887607781</c:v>
                </c:pt>
                <c:pt idx="40">
                  <c:v>111.35465022990222</c:v>
                </c:pt>
                <c:pt idx="41">
                  <c:v>111.86019879095085</c:v>
                </c:pt>
                <c:pt idx="42">
                  <c:v>111.58871197562884</c:v>
                </c:pt>
                <c:pt idx="43">
                  <c:v>111.88129363572227</c:v>
                </c:pt>
                <c:pt idx="44">
                  <c:v>112.54660198603483</c:v>
                </c:pt>
                <c:pt idx="45">
                  <c:v>113.63742492259303</c:v>
                </c:pt>
                <c:pt idx="46">
                  <c:v>113.5042866673308</c:v>
                </c:pt>
                <c:pt idx="47">
                  <c:v>113.4965037320099</c:v>
                </c:pt>
                <c:pt idx="48">
                  <c:v>114.48572407347733</c:v>
                </c:pt>
                <c:pt idx="49">
                  <c:v>114.63508498722105</c:v>
                </c:pt>
                <c:pt idx="50">
                  <c:v>113.91194886361586</c:v>
                </c:pt>
                <c:pt idx="51">
                  <c:v>113.60676352432687</c:v>
                </c:pt>
                <c:pt idx="52">
                  <c:v>113.35697884392914</c:v>
                </c:pt>
                <c:pt idx="53">
                  <c:v>113.65868753866707</c:v>
                </c:pt>
                <c:pt idx="54">
                  <c:v>113.43788480523857</c:v>
                </c:pt>
                <c:pt idx="55">
                  <c:v>112.12945400093365</c:v>
                </c:pt>
                <c:pt idx="56">
                  <c:v>113.13297125834913</c:v>
                </c:pt>
                <c:pt idx="57">
                  <c:v>110.75309805073547</c:v>
                </c:pt>
                <c:pt idx="58">
                  <c:v>111.76676292281931</c:v>
                </c:pt>
                <c:pt idx="59">
                  <c:v>112.36275503264474</c:v>
                </c:pt>
                <c:pt idx="60">
                  <c:v>111.36436016461364</c:v>
                </c:pt>
                <c:pt idx="61">
                  <c:v>111.32798910854687</c:v>
                </c:pt>
                <c:pt idx="62">
                  <c:v>110.10745233996481</c:v>
                </c:pt>
                <c:pt idx="63">
                  <c:v>109.64647729417429</c:v>
                </c:pt>
                <c:pt idx="64">
                  <c:v>110.69407173851863</c:v>
                </c:pt>
                <c:pt idx="65">
                  <c:v>110.04904044600286</c:v>
                </c:pt>
                <c:pt idx="66">
                  <c:v>109.44025297669097</c:v>
                </c:pt>
                <c:pt idx="67">
                  <c:v>108.51886711250502</c:v>
                </c:pt>
                <c:pt idx="68">
                  <c:v>108.73618388458952</c:v>
                </c:pt>
                <c:pt idx="69">
                  <c:v>108.34764843033206</c:v>
                </c:pt>
                <c:pt idx="70">
                  <c:v>108.29084943866251</c:v>
                </c:pt>
                <c:pt idx="71">
                  <c:v>109.93405483472112</c:v>
                </c:pt>
                <c:pt idx="72">
                  <c:v>108.69233059435658</c:v>
                </c:pt>
                <c:pt idx="73">
                  <c:v>107.34122713442001</c:v>
                </c:pt>
                <c:pt idx="74">
                  <c:v>108.06381272400102</c:v>
                </c:pt>
                <c:pt idx="75">
                  <c:v>107.83518818567774</c:v>
                </c:pt>
                <c:pt idx="76">
                  <c:v>107.21919398589446</c:v>
                </c:pt>
                <c:pt idx="77">
                  <c:v>106.1974859001173</c:v>
                </c:pt>
                <c:pt idx="78">
                  <c:v>106.65067821616772</c:v>
                </c:pt>
                <c:pt idx="79">
                  <c:v>107.01292086866941</c:v>
                </c:pt>
                <c:pt idx="80">
                  <c:v>107.74410679935535</c:v>
                </c:pt>
                <c:pt idx="81">
                  <c:v>107.05808736088304</c:v>
                </c:pt>
                <c:pt idx="82">
                  <c:v>106.94012117157996</c:v>
                </c:pt>
                <c:pt idx="83">
                  <c:v>107.17885694558701</c:v>
                </c:pt>
                <c:pt idx="84">
                  <c:v>105.80607412389681</c:v>
                </c:pt>
                <c:pt idx="85">
                  <c:v>106.42812311249351</c:v>
                </c:pt>
                <c:pt idx="86">
                  <c:v>106.50517491253231</c:v>
                </c:pt>
                <c:pt idx="87">
                  <c:v>106.71275770336827</c:v>
                </c:pt>
                <c:pt idx="88">
                  <c:v>105.84878204136048</c:v>
                </c:pt>
                <c:pt idx="89">
                  <c:v>105.53320537369663</c:v>
                </c:pt>
                <c:pt idx="90">
                  <c:v>105.57986463965507</c:v>
                </c:pt>
                <c:pt idx="91">
                  <c:v>105.72942874146503</c:v>
                </c:pt>
                <c:pt idx="92">
                  <c:v>106.25766077697159</c:v>
                </c:pt>
                <c:pt idx="93">
                  <c:v>106.24938876981973</c:v>
                </c:pt>
                <c:pt idx="94">
                  <c:v>106.221724389203</c:v>
                </c:pt>
                <c:pt idx="95">
                  <c:v>107.52206855123025</c:v>
                </c:pt>
                <c:pt idx="96">
                  <c:v>109.05112817293278</c:v>
                </c:pt>
                <c:pt idx="97">
                  <c:v>109.15749625010855</c:v>
                </c:pt>
                <c:pt idx="98">
                  <c:v>109.98281007942039</c:v>
                </c:pt>
                <c:pt idx="99">
                  <c:v>108.18596244734994</c:v>
                </c:pt>
                <c:pt idx="100">
                  <c:v>108.03207115355272</c:v>
                </c:pt>
                <c:pt idx="101">
                  <c:v>108.24167416738882</c:v>
                </c:pt>
                <c:pt idx="102">
                  <c:v>108.06249572636526</c:v>
                </c:pt>
                <c:pt idx="103">
                  <c:v>108.99505567589729</c:v>
                </c:pt>
                <c:pt idx="104">
                  <c:v>109.43946755572446</c:v>
                </c:pt>
                <c:pt idx="105">
                  <c:v>108.96730841879824</c:v>
                </c:pt>
                <c:pt idx="106">
                  <c:v>109.75571682265127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5C-4570-9B0B-77374A1312B4}"/>
            </c:ext>
          </c:extLst>
        </c:ser>
        <c:ser>
          <c:idx val="1"/>
          <c:order val="1"/>
          <c:tx>
            <c:strRef>
              <c:f>Hw_task1!$K$1</c:f>
              <c:strCache>
                <c:ptCount val="1"/>
                <c:pt idx="0">
                  <c:v>value_1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Hw_task1!$K$2:$K$108</c:f>
              <c:numCache>
                <c:formatCode>General</c:formatCode>
                <c:ptCount val="107"/>
                <c:pt idx="0">
                  <c:v>100</c:v>
                </c:pt>
                <c:pt idx="1">
                  <c:v>103.862660944206</c:v>
                </c:pt>
                <c:pt idx="2">
                  <c:v>104.72103004291844</c:v>
                </c:pt>
                <c:pt idx="3">
                  <c:v>103.43347639484978</c:v>
                </c:pt>
                <c:pt idx="4">
                  <c:v>102.57510729613733</c:v>
                </c:pt>
                <c:pt idx="5">
                  <c:v>103.86266094420601</c:v>
                </c:pt>
                <c:pt idx="6">
                  <c:v>103.00429184549357</c:v>
                </c:pt>
                <c:pt idx="7">
                  <c:v>102.14592274678112</c:v>
                </c:pt>
                <c:pt idx="8">
                  <c:v>102.14592274678112</c:v>
                </c:pt>
                <c:pt idx="9">
                  <c:v>105.15021459227468</c:v>
                </c:pt>
                <c:pt idx="10">
                  <c:v>104.72103004291846</c:v>
                </c:pt>
                <c:pt idx="11">
                  <c:v>103.00429184549357</c:v>
                </c:pt>
                <c:pt idx="12">
                  <c:v>103.86266094420601</c:v>
                </c:pt>
                <c:pt idx="13">
                  <c:v>110.72961373390558</c:v>
                </c:pt>
                <c:pt idx="14">
                  <c:v>115.45064377682404</c:v>
                </c:pt>
                <c:pt idx="15">
                  <c:v>115.87982832618025</c:v>
                </c:pt>
                <c:pt idx="16">
                  <c:v>115.87982832618025</c:v>
                </c:pt>
                <c:pt idx="17">
                  <c:v>114.59227467811158</c:v>
                </c:pt>
                <c:pt idx="18">
                  <c:v>113.73390557939913</c:v>
                </c:pt>
                <c:pt idx="19">
                  <c:v>113.73390557939913</c:v>
                </c:pt>
                <c:pt idx="20">
                  <c:v>115.87982832618025</c:v>
                </c:pt>
                <c:pt idx="21">
                  <c:v>119.74248927038627</c:v>
                </c:pt>
                <c:pt idx="22">
                  <c:v>126.60944206008585</c:v>
                </c:pt>
                <c:pt idx="23">
                  <c:v>124.46351931330474</c:v>
                </c:pt>
                <c:pt idx="24">
                  <c:v>122.74678111587984</c:v>
                </c:pt>
                <c:pt idx="25">
                  <c:v>124.46351931330473</c:v>
                </c:pt>
                <c:pt idx="26">
                  <c:v>125.32188841201717</c:v>
                </c:pt>
                <c:pt idx="27">
                  <c:v>125.32188841201717</c:v>
                </c:pt>
                <c:pt idx="28">
                  <c:v>123.60515021459227</c:v>
                </c:pt>
                <c:pt idx="29">
                  <c:v>122.74678111587983</c:v>
                </c:pt>
                <c:pt idx="30">
                  <c:v>121.88841201716738</c:v>
                </c:pt>
                <c:pt idx="31">
                  <c:v>121.45922746781116</c:v>
                </c:pt>
                <c:pt idx="32">
                  <c:v>124.03433476394849</c:v>
                </c:pt>
                <c:pt idx="33">
                  <c:v>122.74678111587981</c:v>
                </c:pt>
                <c:pt idx="34">
                  <c:v>123.17596566523603</c:v>
                </c:pt>
                <c:pt idx="35">
                  <c:v>124.03433476394848</c:v>
                </c:pt>
                <c:pt idx="36">
                  <c:v>121.45922746781115</c:v>
                </c:pt>
                <c:pt idx="37">
                  <c:v>122.3175965665236</c:v>
                </c:pt>
                <c:pt idx="38">
                  <c:v>121.88841201716738</c:v>
                </c:pt>
                <c:pt idx="39">
                  <c:v>121.45922746781116</c:v>
                </c:pt>
                <c:pt idx="40">
                  <c:v>120.17167381974249</c:v>
                </c:pt>
                <c:pt idx="41">
                  <c:v>121.45922746781116</c:v>
                </c:pt>
                <c:pt idx="42">
                  <c:v>120.17167381974249</c:v>
                </c:pt>
                <c:pt idx="43">
                  <c:v>119.31330472103005</c:v>
                </c:pt>
                <c:pt idx="44">
                  <c:v>119.74248927038627</c:v>
                </c:pt>
                <c:pt idx="45">
                  <c:v>121.8884120171674</c:v>
                </c:pt>
                <c:pt idx="46">
                  <c:v>121.45922746781117</c:v>
                </c:pt>
                <c:pt idx="47">
                  <c:v>120.60085836909872</c:v>
                </c:pt>
                <c:pt idx="48">
                  <c:v>120.60085836909872</c:v>
                </c:pt>
                <c:pt idx="49">
                  <c:v>121.03004291845495</c:v>
                </c:pt>
                <c:pt idx="50">
                  <c:v>121.03004291845495</c:v>
                </c:pt>
                <c:pt idx="51">
                  <c:v>120.17167381974251</c:v>
                </c:pt>
                <c:pt idx="52">
                  <c:v>120.17167381974251</c:v>
                </c:pt>
                <c:pt idx="53">
                  <c:v>120.60085836909873</c:v>
                </c:pt>
                <c:pt idx="54">
                  <c:v>120.17167381974251</c:v>
                </c:pt>
                <c:pt idx="55">
                  <c:v>119.31330472103006</c:v>
                </c:pt>
                <c:pt idx="56">
                  <c:v>120.60085836909873</c:v>
                </c:pt>
                <c:pt idx="57">
                  <c:v>117.59656652360516</c:v>
                </c:pt>
                <c:pt idx="58">
                  <c:v>120.17167381974251</c:v>
                </c:pt>
                <c:pt idx="59">
                  <c:v>120.17167381974251</c:v>
                </c:pt>
                <c:pt idx="60">
                  <c:v>118.88412017167384</c:v>
                </c:pt>
                <c:pt idx="61">
                  <c:v>119.7424892703863</c:v>
                </c:pt>
                <c:pt idx="62">
                  <c:v>118.0257510729614</c:v>
                </c:pt>
                <c:pt idx="63">
                  <c:v>116.30901287553651</c:v>
                </c:pt>
                <c:pt idx="64">
                  <c:v>118.45493562231762</c:v>
                </c:pt>
                <c:pt idx="65">
                  <c:v>118.0257510729614</c:v>
                </c:pt>
                <c:pt idx="66">
                  <c:v>116.30901287553651</c:v>
                </c:pt>
                <c:pt idx="67">
                  <c:v>115.87982832618029</c:v>
                </c:pt>
                <c:pt idx="68">
                  <c:v>115.87982832618029</c:v>
                </c:pt>
                <c:pt idx="69">
                  <c:v>115.87982832618029</c:v>
                </c:pt>
                <c:pt idx="70">
                  <c:v>116.30901287553652</c:v>
                </c:pt>
                <c:pt idx="71">
                  <c:v>121.88841201716743</c:v>
                </c:pt>
                <c:pt idx="72">
                  <c:v>118.88412017167387</c:v>
                </c:pt>
                <c:pt idx="73">
                  <c:v>117.59656652360519</c:v>
                </c:pt>
                <c:pt idx="74">
                  <c:v>118.88412017167387</c:v>
                </c:pt>
                <c:pt idx="75">
                  <c:v>117.16738197424898</c:v>
                </c:pt>
                <c:pt idx="76">
                  <c:v>115.87982832618032</c:v>
                </c:pt>
                <c:pt idx="77">
                  <c:v>115.87982832618032</c:v>
                </c:pt>
                <c:pt idx="78">
                  <c:v>114.59227467811165</c:v>
                </c:pt>
                <c:pt idx="79">
                  <c:v>114.59227467811165</c:v>
                </c:pt>
                <c:pt idx="80">
                  <c:v>115.02145922746787</c:v>
                </c:pt>
                <c:pt idx="81">
                  <c:v>115.02145922746787</c:v>
                </c:pt>
                <c:pt idx="82">
                  <c:v>115.02145922746787</c:v>
                </c:pt>
                <c:pt idx="83">
                  <c:v>115.8798283261803</c:v>
                </c:pt>
                <c:pt idx="84">
                  <c:v>114.1630901287554</c:v>
                </c:pt>
                <c:pt idx="85">
                  <c:v>114.1630901287554</c:v>
                </c:pt>
                <c:pt idx="86">
                  <c:v>114.1630901287554</c:v>
                </c:pt>
                <c:pt idx="87">
                  <c:v>115.02145922746786</c:v>
                </c:pt>
                <c:pt idx="88">
                  <c:v>112.87553648068675</c:v>
                </c:pt>
                <c:pt idx="89">
                  <c:v>112.44635193133053</c:v>
                </c:pt>
                <c:pt idx="90">
                  <c:v>113.30472103004296</c:v>
                </c:pt>
                <c:pt idx="91">
                  <c:v>113.73390557939919</c:v>
                </c:pt>
                <c:pt idx="92">
                  <c:v>115.8798283261803</c:v>
                </c:pt>
                <c:pt idx="93">
                  <c:v>114.1630901287554</c:v>
                </c:pt>
                <c:pt idx="94">
                  <c:v>113.73390557939918</c:v>
                </c:pt>
                <c:pt idx="95">
                  <c:v>113.73390557939918</c:v>
                </c:pt>
                <c:pt idx="96">
                  <c:v>115.87982832618029</c:v>
                </c:pt>
                <c:pt idx="97">
                  <c:v>117.16738197424895</c:v>
                </c:pt>
                <c:pt idx="98">
                  <c:v>120.17167381974251</c:v>
                </c:pt>
                <c:pt idx="99">
                  <c:v>117.16738197424894</c:v>
                </c:pt>
                <c:pt idx="100">
                  <c:v>116.73819742489272</c:v>
                </c:pt>
                <c:pt idx="101">
                  <c:v>117.59656652360516</c:v>
                </c:pt>
                <c:pt idx="102">
                  <c:v>115.87982832618027</c:v>
                </c:pt>
                <c:pt idx="103">
                  <c:v>118.0257510729614</c:v>
                </c:pt>
                <c:pt idx="104">
                  <c:v>118.0257510729614</c:v>
                </c:pt>
                <c:pt idx="105">
                  <c:v>116.30901287553651</c:v>
                </c:pt>
                <c:pt idx="106">
                  <c:v>116.30901287553651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5C-4570-9B0B-77374A1312B4}"/>
            </c:ext>
          </c:extLst>
        </c:ser>
        <c:ser>
          <c:idx val="2"/>
          <c:order val="2"/>
          <c:tx>
            <c:strRef>
              <c:f>Hw_task1!$L$1</c:f>
              <c:strCache>
                <c:ptCount val="1"/>
                <c:pt idx="0">
                  <c:v>value_2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Hw_task1!$L$2:$L$108</c:f>
              <c:numCache>
                <c:formatCode>General</c:formatCode>
                <c:ptCount val="107"/>
                <c:pt idx="0">
                  <c:v>100</c:v>
                </c:pt>
                <c:pt idx="1">
                  <c:v>100.82701585113713</c:v>
                </c:pt>
                <c:pt idx="2">
                  <c:v>100.27567195037904</c:v>
                </c:pt>
                <c:pt idx="3">
                  <c:v>101.99862164024809</c:v>
                </c:pt>
                <c:pt idx="4">
                  <c:v>102.96347346657477</c:v>
                </c:pt>
                <c:pt idx="5">
                  <c:v>102.20537560303238</c:v>
                </c:pt>
                <c:pt idx="6">
                  <c:v>103.17022742935906</c:v>
                </c:pt>
                <c:pt idx="7">
                  <c:v>103.03239145416954</c:v>
                </c:pt>
                <c:pt idx="8">
                  <c:v>102.41212956581668</c:v>
                </c:pt>
                <c:pt idx="9">
                  <c:v>102.13645761543764</c:v>
                </c:pt>
                <c:pt idx="10">
                  <c:v>101.72294968986905</c:v>
                </c:pt>
                <c:pt idx="11">
                  <c:v>101.86078566505857</c:v>
                </c:pt>
                <c:pt idx="12">
                  <c:v>101.7918676774638</c:v>
                </c:pt>
                <c:pt idx="13">
                  <c:v>102.3432115782219</c:v>
                </c:pt>
                <c:pt idx="14">
                  <c:v>102.27429359062712</c:v>
                </c:pt>
                <c:pt idx="15">
                  <c:v>104.06616126809094</c:v>
                </c:pt>
                <c:pt idx="16">
                  <c:v>103.92832529290141</c:v>
                </c:pt>
                <c:pt idx="17">
                  <c:v>102.75671950379045</c:v>
                </c:pt>
                <c:pt idx="18">
                  <c:v>103.37698139214331</c:v>
                </c:pt>
                <c:pt idx="19">
                  <c:v>103.79048931771187</c:v>
                </c:pt>
                <c:pt idx="20">
                  <c:v>104.41075120606473</c:v>
                </c:pt>
                <c:pt idx="21">
                  <c:v>104.41075120606473</c:v>
                </c:pt>
                <c:pt idx="22">
                  <c:v>103.85940730530663</c:v>
                </c:pt>
                <c:pt idx="23">
                  <c:v>104.20399724328044</c:v>
                </c:pt>
                <c:pt idx="24">
                  <c:v>103.23914541695376</c:v>
                </c:pt>
                <c:pt idx="25">
                  <c:v>104.06616126809092</c:v>
                </c:pt>
                <c:pt idx="26">
                  <c:v>105.09993108201235</c:v>
                </c:pt>
                <c:pt idx="27">
                  <c:v>104.8242591316333</c:v>
                </c:pt>
                <c:pt idx="28">
                  <c:v>104.06616126809091</c:v>
                </c:pt>
                <c:pt idx="29">
                  <c:v>105.3756030323914</c:v>
                </c:pt>
                <c:pt idx="30">
                  <c:v>105.85802894555474</c:v>
                </c:pt>
                <c:pt idx="31">
                  <c:v>106.1337008959338</c:v>
                </c:pt>
                <c:pt idx="32">
                  <c:v>105.78911095795999</c:v>
                </c:pt>
                <c:pt idx="33">
                  <c:v>104.82425913163333</c:v>
                </c:pt>
                <c:pt idx="34">
                  <c:v>105.09993108201238</c:v>
                </c:pt>
                <c:pt idx="35">
                  <c:v>105.09993108201238</c:v>
                </c:pt>
                <c:pt idx="36">
                  <c:v>104.1350792556857</c:v>
                </c:pt>
                <c:pt idx="37">
                  <c:v>103.37698139214331</c:v>
                </c:pt>
                <c:pt idx="38">
                  <c:v>104.1350792556857</c:v>
                </c:pt>
                <c:pt idx="39">
                  <c:v>103.65265334252237</c:v>
                </c:pt>
                <c:pt idx="40">
                  <c:v>103.72157133011713</c:v>
                </c:pt>
                <c:pt idx="41">
                  <c:v>103.30806340454856</c:v>
                </c:pt>
                <c:pt idx="42">
                  <c:v>102.27429359062712</c:v>
                </c:pt>
                <c:pt idx="43">
                  <c:v>103.30806340454855</c:v>
                </c:pt>
                <c:pt idx="44">
                  <c:v>103.30806340454855</c:v>
                </c:pt>
                <c:pt idx="45">
                  <c:v>103.37698139214332</c:v>
                </c:pt>
                <c:pt idx="46">
                  <c:v>102.54996554100617</c:v>
                </c:pt>
                <c:pt idx="47">
                  <c:v>103.37698139214332</c:v>
                </c:pt>
                <c:pt idx="48">
                  <c:v>103.58373535492761</c:v>
                </c:pt>
                <c:pt idx="49">
                  <c:v>103.65265334252237</c:v>
                </c:pt>
                <c:pt idx="50">
                  <c:v>101.65403170227427</c:v>
                </c:pt>
                <c:pt idx="51">
                  <c:v>101.17160578911093</c:v>
                </c:pt>
                <c:pt idx="52">
                  <c:v>101.44727773948996</c:v>
                </c:pt>
                <c:pt idx="53">
                  <c:v>102.20537560303235</c:v>
                </c:pt>
                <c:pt idx="54">
                  <c:v>101.65403170227425</c:v>
                </c:pt>
                <c:pt idx="55">
                  <c:v>100.41350792556852</c:v>
                </c:pt>
                <c:pt idx="56">
                  <c:v>101.10268780151615</c:v>
                </c:pt>
                <c:pt idx="57">
                  <c:v>99.586492074431391</c:v>
                </c:pt>
                <c:pt idx="58">
                  <c:v>99.517574086836632</c:v>
                </c:pt>
                <c:pt idx="59">
                  <c:v>100.75809786354235</c:v>
                </c:pt>
                <c:pt idx="60">
                  <c:v>99.931082012405199</c:v>
                </c:pt>
                <c:pt idx="61">
                  <c:v>99.241902136457568</c:v>
                </c:pt>
                <c:pt idx="62">
                  <c:v>99.586492074431391</c:v>
                </c:pt>
                <c:pt idx="63">
                  <c:v>99.86216402481044</c:v>
                </c:pt>
                <c:pt idx="64">
                  <c:v>100.20675396278425</c:v>
                </c:pt>
                <c:pt idx="65">
                  <c:v>98.208132322536144</c:v>
                </c:pt>
                <c:pt idx="66">
                  <c:v>96.898690558235671</c:v>
                </c:pt>
                <c:pt idx="67">
                  <c:v>96.485182632667104</c:v>
                </c:pt>
                <c:pt idx="68">
                  <c:v>96.829772570640912</c:v>
                </c:pt>
                <c:pt idx="69">
                  <c:v>96.347346657477587</c:v>
                </c:pt>
                <c:pt idx="70">
                  <c:v>95.520330806340439</c:v>
                </c:pt>
                <c:pt idx="71">
                  <c:v>93.728463128876626</c:v>
                </c:pt>
                <c:pt idx="72">
                  <c:v>93.177119228118528</c:v>
                </c:pt>
                <c:pt idx="73">
                  <c:v>92.35010337698138</c:v>
                </c:pt>
                <c:pt idx="74">
                  <c:v>91.109579600275666</c:v>
                </c:pt>
                <c:pt idx="75">
                  <c:v>94.417643004824242</c:v>
                </c:pt>
                <c:pt idx="76">
                  <c:v>95.106822880771873</c:v>
                </c:pt>
                <c:pt idx="77">
                  <c:v>92.970365265334237</c:v>
                </c:pt>
                <c:pt idx="78">
                  <c:v>94.762232942798065</c:v>
                </c:pt>
                <c:pt idx="79">
                  <c:v>95.589248793935212</c:v>
                </c:pt>
                <c:pt idx="80">
                  <c:v>95.451412818745695</c:v>
                </c:pt>
                <c:pt idx="81">
                  <c:v>94.900068917987596</c:v>
                </c:pt>
                <c:pt idx="82">
                  <c:v>95.796002756719503</c:v>
                </c:pt>
                <c:pt idx="83">
                  <c:v>95.244658855961404</c:v>
                </c:pt>
                <c:pt idx="84">
                  <c:v>94.900068917987596</c:v>
                </c:pt>
                <c:pt idx="85">
                  <c:v>95.451412818745695</c:v>
                </c:pt>
                <c:pt idx="86">
                  <c:v>96.278428669882828</c:v>
                </c:pt>
                <c:pt idx="87">
                  <c:v>94.624396967608533</c:v>
                </c:pt>
                <c:pt idx="88">
                  <c:v>94.76223294279805</c:v>
                </c:pt>
                <c:pt idx="89">
                  <c:v>95.0379048931771</c:v>
                </c:pt>
                <c:pt idx="90">
                  <c:v>94.55547898001376</c:v>
                </c:pt>
                <c:pt idx="91">
                  <c:v>95.451412818745681</c:v>
                </c:pt>
                <c:pt idx="92">
                  <c:v>94.348725017229484</c:v>
                </c:pt>
                <c:pt idx="93">
                  <c:v>94.968986905582341</c:v>
                </c:pt>
                <c:pt idx="94">
                  <c:v>97.036526533425203</c:v>
                </c:pt>
                <c:pt idx="95">
                  <c:v>101.24052377670569</c:v>
                </c:pt>
                <c:pt idx="96">
                  <c:v>103.85940730530666</c:v>
                </c:pt>
                <c:pt idx="97">
                  <c:v>103.2391454169538</c:v>
                </c:pt>
                <c:pt idx="98">
                  <c:v>101.99862164024807</c:v>
                </c:pt>
                <c:pt idx="99">
                  <c:v>100.41350792556854</c:v>
                </c:pt>
                <c:pt idx="100">
                  <c:v>100.62026188835283</c:v>
                </c:pt>
                <c:pt idx="101">
                  <c:v>99.586492074431391</c:v>
                </c:pt>
                <c:pt idx="102">
                  <c:v>100.06891798759473</c:v>
                </c:pt>
                <c:pt idx="103">
                  <c:v>100.62026188835283</c:v>
                </c:pt>
                <c:pt idx="104">
                  <c:v>102.34321157822188</c:v>
                </c:pt>
                <c:pt idx="105">
                  <c:v>104.06616126809094</c:v>
                </c:pt>
                <c:pt idx="106">
                  <c:v>106.27153687112332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5C-4570-9B0B-77374A1312B4}"/>
            </c:ext>
          </c:extLst>
        </c:ser>
        <c:ser>
          <c:idx val="3"/>
          <c:order val="3"/>
          <c:tx>
            <c:strRef>
              <c:f>Hw_task1!$M$1</c:f>
              <c:strCache>
                <c:ptCount val="1"/>
                <c:pt idx="0">
                  <c:v>value_3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Hw_task1!$M$2:$M$108</c:f>
              <c:numCache>
                <c:formatCode>General</c:formatCode>
                <c:ptCount val="107"/>
                <c:pt idx="0">
                  <c:v>100</c:v>
                </c:pt>
                <c:pt idx="1">
                  <c:v>102.37556561085972</c:v>
                </c:pt>
                <c:pt idx="2">
                  <c:v>100.90497737556561</c:v>
                </c:pt>
                <c:pt idx="3">
                  <c:v>101.24434389140271</c:v>
                </c:pt>
                <c:pt idx="4">
                  <c:v>101.35746606334841</c:v>
                </c:pt>
                <c:pt idx="5">
                  <c:v>101.131221719457</c:v>
                </c:pt>
                <c:pt idx="6">
                  <c:v>101.80995475113122</c:v>
                </c:pt>
                <c:pt idx="7">
                  <c:v>101.69683257918552</c:v>
                </c:pt>
                <c:pt idx="8">
                  <c:v>100.45248868778282</c:v>
                </c:pt>
                <c:pt idx="9">
                  <c:v>101.01809954751133</c:v>
                </c:pt>
                <c:pt idx="10">
                  <c:v>101.01809954751133</c:v>
                </c:pt>
                <c:pt idx="11">
                  <c:v>101.58371040723982</c:v>
                </c:pt>
                <c:pt idx="12">
                  <c:v>100.67873303167421</c:v>
                </c:pt>
                <c:pt idx="13">
                  <c:v>100.3393665158371</c:v>
                </c:pt>
                <c:pt idx="14">
                  <c:v>100.22624434389139</c:v>
                </c:pt>
                <c:pt idx="15">
                  <c:v>100.45248868778279</c:v>
                </c:pt>
                <c:pt idx="16">
                  <c:v>99.999999999999986</c:v>
                </c:pt>
                <c:pt idx="17">
                  <c:v>100.79185520361989</c:v>
                </c:pt>
                <c:pt idx="18">
                  <c:v>99.773755656108577</c:v>
                </c:pt>
                <c:pt idx="19">
                  <c:v>100.56561085972848</c:v>
                </c:pt>
                <c:pt idx="20">
                  <c:v>100.45248868778278</c:v>
                </c:pt>
                <c:pt idx="21">
                  <c:v>100.79185520361987</c:v>
                </c:pt>
                <c:pt idx="22">
                  <c:v>101.24434389140268</c:v>
                </c:pt>
                <c:pt idx="23">
                  <c:v>101.24434389140268</c:v>
                </c:pt>
                <c:pt idx="24">
                  <c:v>100.33936651583707</c:v>
                </c:pt>
                <c:pt idx="25">
                  <c:v>100.33936651583707</c:v>
                </c:pt>
                <c:pt idx="26">
                  <c:v>100.22624434389137</c:v>
                </c:pt>
                <c:pt idx="27">
                  <c:v>100.33936651583707</c:v>
                </c:pt>
                <c:pt idx="28">
                  <c:v>100.11312217194568</c:v>
                </c:pt>
                <c:pt idx="29">
                  <c:v>99.095022624434364</c:v>
                </c:pt>
                <c:pt idx="30">
                  <c:v>99.660633484162872</c:v>
                </c:pt>
                <c:pt idx="31">
                  <c:v>99.547511312217168</c:v>
                </c:pt>
                <c:pt idx="32">
                  <c:v>98.981900452488659</c:v>
                </c:pt>
                <c:pt idx="33">
                  <c:v>98.981900452488659</c:v>
                </c:pt>
                <c:pt idx="34">
                  <c:v>99.434389140271477</c:v>
                </c:pt>
                <c:pt idx="35">
                  <c:v>98.52941176470587</c:v>
                </c:pt>
                <c:pt idx="36">
                  <c:v>98.303167420814475</c:v>
                </c:pt>
                <c:pt idx="37">
                  <c:v>99.095022624434392</c:v>
                </c:pt>
                <c:pt idx="38">
                  <c:v>99.208144796380097</c:v>
                </c:pt>
                <c:pt idx="39">
                  <c:v>98.981900452488688</c:v>
                </c:pt>
                <c:pt idx="40">
                  <c:v>102.82805429864254</c:v>
                </c:pt>
                <c:pt idx="41">
                  <c:v>102.82805429864254</c:v>
                </c:pt>
                <c:pt idx="42">
                  <c:v>104.52488687782807</c:v>
                </c:pt>
                <c:pt idx="43">
                  <c:v>105.9954751131222</c:v>
                </c:pt>
                <c:pt idx="44">
                  <c:v>107.46606334841631</c:v>
                </c:pt>
                <c:pt idx="45">
                  <c:v>107.69230769230772</c:v>
                </c:pt>
                <c:pt idx="46">
                  <c:v>108.48416289592762</c:v>
                </c:pt>
                <c:pt idx="47">
                  <c:v>109.16289592760184</c:v>
                </c:pt>
                <c:pt idx="48">
                  <c:v>112.21719457013577</c:v>
                </c:pt>
                <c:pt idx="49">
                  <c:v>111.99095022624437</c:v>
                </c:pt>
                <c:pt idx="50">
                  <c:v>111.08597285067874</c:v>
                </c:pt>
                <c:pt idx="51">
                  <c:v>111.76470588235296</c:v>
                </c:pt>
                <c:pt idx="52">
                  <c:v>110.74660633484164</c:v>
                </c:pt>
                <c:pt idx="53">
                  <c:v>110.52036199095025</c:v>
                </c:pt>
                <c:pt idx="54">
                  <c:v>110.85972850678735</c:v>
                </c:pt>
                <c:pt idx="55">
                  <c:v>108.82352941176472</c:v>
                </c:pt>
                <c:pt idx="56">
                  <c:v>109.61538461538464</c:v>
                </c:pt>
                <c:pt idx="57">
                  <c:v>107.57918552036202</c:v>
                </c:pt>
                <c:pt idx="58">
                  <c:v>107.01357466063351</c:v>
                </c:pt>
                <c:pt idx="59">
                  <c:v>108.03167420814482</c:v>
                </c:pt>
                <c:pt idx="60">
                  <c:v>107.35294117647061</c:v>
                </c:pt>
                <c:pt idx="61">
                  <c:v>106.447963800905</c:v>
                </c:pt>
                <c:pt idx="62">
                  <c:v>104.86425339366518</c:v>
                </c:pt>
                <c:pt idx="63">
                  <c:v>105.76923076923079</c:v>
                </c:pt>
                <c:pt idx="64">
                  <c:v>105.65610859728508</c:v>
                </c:pt>
                <c:pt idx="65">
                  <c:v>105.65610859728508</c:v>
                </c:pt>
                <c:pt idx="66">
                  <c:v>107.23981900452489</c:v>
                </c:pt>
                <c:pt idx="67">
                  <c:v>105.20361990950227</c:v>
                </c:pt>
                <c:pt idx="68">
                  <c:v>105.65610859728508</c:v>
                </c:pt>
                <c:pt idx="69">
                  <c:v>104.75113122171948</c:v>
                </c:pt>
                <c:pt idx="70">
                  <c:v>104.52488687782807</c:v>
                </c:pt>
                <c:pt idx="71">
                  <c:v>102.94117647058825</c:v>
                </c:pt>
                <c:pt idx="72">
                  <c:v>103.73303167420815</c:v>
                </c:pt>
                <c:pt idx="73">
                  <c:v>101.92307692307693</c:v>
                </c:pt>
                <c:pt idx="74">
                  <c:v>103.28054298642535</c:v>
                </c:pt>
                <c:pt idx="75">
                  <c:v>102.60180995475113</c:v>
                </c:pt>
                <c:pt idx="76">
                  <c:v>102.03619909502262</c:v>
                </c:pt>
                <c:pt idx="77">
                  <c:v>100.33936651583711</c:v>
                </c:pt>
                <c:pt idx="78">
                  <c:v>102.37556561085972</c:v>
                </c:pt>
                <c:pt idx="79">
                  <c:v>102.94117647058825</c:v>
                </c:pt>
                <c:pt idx="80">
                  <c:v>104.75113122171946</c:v>
                </c:pt>
                <c:pt idx="81">
                  <c:v>102.94117647058825</c:v>
                </c:pt>
                <c:pt idx="82">
                  <c:v>101.92307692307693</c:v>
                </c:pt>
                <c:pt idx="83">
                  <c:v>101.80995475113123</c:v>
                </c:pt>
                <c:pt idx="84">
                  <c:v>100.22624434389141</c:v>
                </c:pt>
                <c:pt idx="85">
                  <c:v>101.80995475113123</c:v>
                </c:pt>
                <c:pt idx="86">
                  <c:v>101.47058823529413</c:v>
                </c:pt>
                <c:pt idx="87">
                  <c:v>102.03619909502262</c:v>
                </c:pt>
                <c:pt idx="88">
                  <c:v>102.37556561085974</c:v>
                </c:pt>
                <c:pt idx="89">
                  <c:v>101.80995475113123</c:v>
                </c:pt>
                <c:pt idx="90">
                  <c:v>101.01809954751133</c:v>
                </c:pt>
                <c:pt idx="91">
                  <c:v>100.22624434389142</c:v>
                </c:pt>
                <c:pt idx="92">
                  <c:v>99.54751131221721</c:v>
                </c:pt>
                <c:pt idx="93">
                  <c:v>101.58371040723983</c:v>
                </c:pt>
                <c:pt idx="94">
                  <c:v>100.67873303167423</c:v>
                </c:pt>
                <c:pt idx="95">
                  <c:v>101.92307692307693</c:v>
                </c:pt>
                <c:pt idx="96">
                  <c:v>101.80995475113123</c:v>
                </c:pt>
                <c:pt idx="97">
                  <c:v>100.67873303167421</c:v>
                </c:pt>
                <c:pt idx="98">
                  <c:v>99.773755656108591</c:v>
                </c:pt>
                <c:pt idx="99">
                  <c:v>99.547511312217182</c:v>
                </c:pt>
                <c:pt idx="100">
                  <c:v>99.547511312217182</c:v>
                </c:pt>
                <c:pt idx="101">
                  <c:v>99.660633484162886</c:v>
                </c:pt>
                <c:pt idx="102">
                  <c:v>101.24434389140269</c:v>
                </c:pt>
                <c:pt idx="103">
                  <c:v>100.67873303167418</c:v>
                </c:pt>
                <c:pt idx="104">
                  <c:v>100.90497737556559</c:v>
                </c:pt>
                <c:pt idx="105">
                  <c:v>100.7918552036199</c:v>
                </c:pt>
                <c:pt idx="106">
                  <c:v>101.80995475113122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5C-4570-9B0B-77374A131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9320640"/>
        <c:axId val="859322304"/>
      </c:lineChart>
      <c:catAx>
        <c:axId val="8593206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9322304"/>
        <c:crosses val="autoZero"/>
        <c:auto val="1"/>
        <c:lblAlgn val="ctr"/>
        <c:lblOffset val="100"/>
        <c:noMultiLvlLbl val="0"/>
      </c:catAx>
      <c:valAx>
        <c:axId val="85932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932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Hw_task1!$AH$36</c:f>
              <c:strCache>
                <c:ptCount val="1"/>
                <c:pt idx="0">
                  <c:v>0,00100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Hw_task1!$AG$37:$AG$49</c:f>
              <c:numCache>
                <c:formatCode>0.00000</c:formatCode>
                <c:ptCount val="13"/>
                <c:pt idx="0">
                  <c:v>8.77E-3</c:v>
                </c:pt>
                <c:pt idx="1">
                  <c:v>7.876983742064407E-3</c:v>
                </c:pt>
                <c:pt idx="2" formatCode="General">
                  <c:v>7.7104237395428394E-3</c:v>
                </c:pt>
                <c:pt idx="3">
                  <c:v>7.6300352937230869E-3</c:v>
                </c:pt>
                <c:pt idx="4">
                  <c:v>7.4609039057792065E-3</c:v>
                </c:pt>
                <c:pt idx="5">
                  <c:v>7.414197238934492E-3</c:v>
                </c:pt>
                <c:pt idx="6">
                  <c:v>7.2682962959972688E-3</c:v>
                </c:pt>
                <c:pt idx="7">
                  <c:v>1.5895056921389365E-2</c:v>
                </c:pt>
                <c:pt idx="8">
                  <c:v>1.1291814558907074E-2</c:v>
                </c:pt>
                <c:pt idx="9">
                  <c:v>9.1921056014406498E-3</c:v>
                </c:pt>
              </c:numCache>
            </c:numRef>
          </c:xVal>
          <c:yVal>
            <c:numRef>
              <c:f>Hw_task1!$AH$37:$AH$49</c:f>
              <c:numCache>
                <c:formatCode>0.00000</c:formatCode>
                <c:ptCount val="13"/>
                <c:pt idx="0">
                  <c:v>8.8000000000000003E-4</c:v>
                </c:pt>
                <c:pt idx="1">
                  <c:v>7.9303441040874233E-4</c:v>
                </c:pt>
                <c:pt idx="2" formatCode="General">
                  <c:v>4.9713931722274163E-4</c:v>
                </c:pt>
                <c:pt idx="3">
                  <c:v>4.5667742990913862E-4</c:v>
                </c:pt>
                <c:pt idx="4">
                  <c:v>6.2274560649381054E-4</c:v>
                </c:pt>
                <c:pt idx="5">
                  <c:v>7.0789000845127654E-4</c:v>
                </c:pt>
                <c:pt idx="6">
                  <c:v>5.8228371918020753E-4</c:v>
                </c:pt>
                <c:pt idx="7">
                  <c:v>1.4252864840943469E-3</c:v>
                </c:pt>
                <c:pt idx="8">
                  <c:v>1.153246460563482E-3</c:v>
                </c:pt>
                <c:pt idx="9">
                  <c:v>9.7528734191885556E-4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CA-46C4-9DDE-A34FDFD61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2351439"/>
        <c:axId val="842350191"/>
      </c:scatterChart>
      <c:valAx>
        <c:axId val="842351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2350191"/>
        <c:crosses val="autoZero"/>
        <c:crossBetween val="midCat"/>
      </c:valAx>
      <c:valAx>
        <c:axId val="84235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2351439"/>
        <c:crosses val="autoZero"/>
        <c:crossBetween val="midCat"/>
      </c:valAx>
      <c:spPr>
        <a:noFill/>
        <a:ln>
          <a:solidFill>
            <a:schemeClr val="accent1"/>
          </a:solidFill>
          <a:prstDash val="solid"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calculations_3!$R$37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calculations_3!$Q$38:$Q$50</c:f>
              <c:numCache>
                <c:formatCode>0.00000</c:formatCode>
                <c:ptCount val="13"/>
              </c:numCache>
            </c:numRef>
          </c:xVal>
          <c:yVal>
            <c:numRef>
              <c:f>calculations_3!$R$38:$R$50</c:f>
              <c:numCache>
                <c:formatCode>0.00000</c:formatCode>
                <c:ptCount val="1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FC5-4344-BEFD-C122E16DB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311608"/>
        <c:axId val="528304064"/>
      </c:scatterChart>
      <c:valAx>
        <c:axId val="528311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8304064"/>
        <c:crosses val="autoZero"/>
        <c:crossBetween val="midCat"/>
      </c:valAx>
      <c:valAx>
        <c:axId val="52830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8311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chart" Target="../charts/chart2.xml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46522</xdr:colOff>
      <xdr:row>8</xdr:row>
      <xdr:rowOff>127086</xdr:rowOff>
    </xdr:from>
    <xdr:to>
      <xdr:col>20</xdr:col>
      <xdr:colOff>520075</xdr:colOff>
      <xdr:row>34</xdr:row>
      <xdr:rowOff>99521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EA7DBE-E653-4F9E-9844-5E1F246DFD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499673</xdr:colOff>
      <xdr:row>43</xdr:row>
      <xdr:rowOff>0</xdr:rowOff>
    </xdr:from>
    <xdr:to>
      <xdr:col>20</xdr:col>
      <xdr:colOff>562132</xdr:colOff>
      <xdr:row>50</xdr:row>
      <xdr:rowOff>128135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B45E3C-0CA6-46C7-AB34-2D906CE6E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31443" y="8132164"/>
          <a:ext cx="5858656" cy="1439774"/>
        </a:xfrm>
        <a:prstGeom prst="rect">
          <a:avLst/>
        </a:prstGeom>
      </xdr:spPr>
    </xdr:pic>
    <xdr:clientData/>
  </xdr:twoCellAnchor>
  <xdr:twoCellAnchor editAs="oneCell">
    <xdr:from>
      <xdr:col>22</xdr:col>
      <xdr:colOff>309796</xdr:colOff>
      <xdr:row>44</xdr:row>
      <xdr:rowOff>116516</xdr:rowOff>
    </xdr:from>
    <xdr:to>
      <xdr:col>31</xdr:col>
      <xdr:colOff>35626</xdr:colOff>
      <xdr:row>48</xdr:row>
      <xdr:rowOff>159194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A07867B-9116-4C06-99CC-D0947A44C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741287" y="8179861"/>
          <a:ext cx="5960375" cy="763115"/>
        </a:xfrm>
        <a:prstGeom prst="rect">
          <a:avLst/>
        </a:prstGeom>
      </xdr:spPr>
    </xdr:pic>
    <xdr:clientData/>
  </xdr:twoCellAnchor>
  <xdr:twoCellAnchor editAs="oneCell">
    <xdr:from>
      <xdr:col>32</xdr:col>
      <xdr:colOff>261671</xdr:colOff>
      <xdr:row>53</xdr:row>
      <xdr:rowOff>45038</xdr:rowOff>
    </xdr:from>
    <xdr:to>
      <xdr:col>40</xdr:col>
      <xdr:colOff>117721</xdr:colOff>
      <xdr:row>59</xdr:row>
      <xdr:rowOff>212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C04E6B-54E7-4DFE-BCE2-2A0328C6B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342250" y="9730459"/>
          <a:ext cx="6054908" cy="1038016"/>
        </a:xfrm>
        <a:prstGeom prst="rect">
          <a:avLst/>
        </a:prstGeom>
      </xdr:spPr>
    </xdr:pic>
    <xdr:clientData/>
  </xdr:twoCellAnchor>
  <xdr:twoCellAnchor>
    <xdr:from>
      <xdr:col>34</xdr:col>
      <xdr:colOff>457199</xdr:colOff>
      <xdr:row>32</xdr:row>
      <xdr:rowOff>141514</xdr:rowOff>
    </xdr:from>
    <xdr:to>
      <xdr:col>40</xdr:col>
      <xdr:colOff>576942</xdr:colOff>
      <xdr:row>48</xdr:row>
      <xdr:rowOff>174172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DC47A79-F8E3-463E-9807-E4A0468562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66675</xdr:colOff>
      <xdr:row>35</xdr:row>
      <xdr:rowOff>52387</xdr:rowOff>
    </xdr:from>
    <xdr:to>
      <xdr:col>24</xdr:col>
      <xdr:colOff>238125</xdr:colOff>
      <xdr:row>49</xdr:row>
      <xdr:rowOff>128587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2BE7D7D5-01CD-47A3-B03B-024BAC4DAD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18</xdr:col>
      <xdr:colOff>114300</xdr:colOff>
      <xdr:row>50</xdr:row>
      <xdr:rowOff>50752</xdr:rowOff>
    </xdr:from>
    <xdr:ext cx="2914650" cy="831790"/>
    <xdr:pic>
      <xdr:nvPicPr>
        <xdr:cNvPr id="3" name="Kép 2">
          <a:extLst>
            <a:ext uri="{FF2B5EF4-FFF2-40B4-BE49-F238E27FC236}">
              <a16:creationId xmlns:a16="http://schemas.microsoft.com/office/drawing/2014/main" id="{AE1BBDA8-F09B-4B9E-B5A6-5147C5053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194752"/>
          <a:ext cx="2914650" cy="83179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"/>
  <sheetViews>
    <sheetView zoomScale="70" zoomScaleNormal="70" workbookViewId="0">
      <selection activeCell="G4" sqref="G4:G110"/>
    </sheetView>
  </sheetViews>
  <sheetFormatPr defaultRowHeight="14.4" x14ac:dyDescent="0.3"/>
  <cols>
    <col min="1" max="4" width="25" customWidth="1"/>
    <col min="6" max="6" width="21.77734375" customWidth="1"/>
    <col min="7" max="7" width="17.33203125" customWidth="1"/>
    <col min="8" max="8" width="18.6640625" customWidth="1"/>
    <col min="9" max="9" width="20.77734375" customWidth="1"/>
    <col min="11" max="11" width="20.109375" customWidth="1"/>
    <col min="12" max="12" width="13.21875" customWidth="1"/>
    <col min="13" max="13" width="18.33203125" customWidth="1"/>
    <col min="14" max="14" width="16.77734375" customWidth="1"/>
  </cols>
  <sheetData>
    <row r="1" spans="1:14" ht="21" x14ac:dyDescent="0.4">
      <c r="A1" s="85" t="s">
        <v>0</v>
      </c>
      <c r="B1" s="85" t="s">
        <v>1</v>
      </c>
      <c r="C1" s="85" t="s">
        <v>1</v>
      </c>
      <c r="D1" s="85" t="s">
        <v>1</v>
      </c>
      <c r="F1" s="85" t="s">
        <v>0</v>
      </c>
      <c r="G1" s="85" t="s">
        <v>1</v>
      </c>
      <c r="H1" s="85" t="s">
        <v>1</v>
      </c>
      <c r="I1" s="85" t="s">
        <v>1</v>
      </c>
      <c r="K1" s="85" t="s">
        <v>0</v>
      </c>
      <c r="L1" s="85" t="s">
        <v>1</v>
      </c>
      <c r="M1" s="85" t="s">
        <v>1</v>
      </c>
      <c r="N1" s="85" t="s">
        <v>1</v>
      </c>
    </row>
    <row r="2" spans="1:14" x14ac:dyDescent="0.3">
      <c r="A2" s="2" t="s">
        <v>2</v>
      </c>
      <c r="B2" s="2" t="s">
        <v>3</v>
      </c>
      <c r="C2" s="2" t="s">
        <v>4</v>
      </c>
      <c r="D2" s="2" t="s">
        <v>5</v>
      </c>
      <c r="F2" s="2" t="s">
        <v>2</v>
      </c>
      <c r="G2" s="2" t="s">
        <v>3</v>
      </c>
      <c r="H2" s="2" t="s">
        <v>4</v>
      </c>
      <c r="I2" s="2" t="s">
        <v>5</v>
      </c>
      <c r="K2" s="2" t="s">
        <v>2</v>
      </c>
      <c r="L2" s="2" t="s">
        <v>3</v>
      </c>
      <c r="M2" s="2" t="s">
        <v>4</v>
      </c>
      <c r="N2" s="2" t="s">
        <v>5</v>
      </c>
    </row>
    <row r="3" spans="1:14" x14ac:dyDescent="0.3">
      <c r="A3" s="3" t="s">
        <v>6</v>
      </c>
      <c r="B3" s="3" t="s">
        <v>7</v>
      </c>
      <c r="C3" s="3" t="s">
        <v>8</v>
      </c>
      <c r="D3" s="3" t="s">
        <v>9</v>
      </c>
      <c r="F3" s="3" t="s">
        <v>6</v>
      </c>
      <c r="G3" s="3" t="s">
        <v>7</v>
      </c>
      <c r="H3" s="3" t="s">
        <v>8</v>
      </c>
      <c r="I3" s="3" t="s">
        <v>9</v>
      </c>
      <c r="K3" s="3" t="s">
        <v>6</v>
      </c>
      <c r="L3" s="3" t="s">
        <v>7</v>
      </c>
      <c r="M3" s="3" t="s">
        <v>8</v>
      </c>
      <c r="N3" s="3" t="s">
        <v>9</v>
      </c>
    </row>
    <row r="4" spans="1:14" x14ac:dyDescent="0.3">
      <c r="A4" t="s">
        <v>10</v>
      </c>
      <c r="B4" t="s">
        <v>3</v>
      </c>
      <c r="C4" s="1">
        <v>2330</v>
      </c>
      <c r="D4" s="1">
        <v>2515</v>
      </c>
      <c r="F4" t="s">
        <v>116</v>
      </c>
      <c r="G4" t="s">
        <v>3</v>
      </c>
      <c r="H4" s="1">
        <v>2902</v>
      </c>
      <c r="I4" s="1">
        <v>467661</v>
      </c>
      <c r="K4" t="s">
        <v>117</v>
      </c>
      <c r="L4" t="s">
        <v>3</v>
      </c>
      <c r="M4" s="1">
        <v>1768</v>
      </c>
      <c r="N4" s="1">
        <v>419824</v>
      </c>
    </row>
    <row r="5" spans="1:14" x14ac:dyDescent="0.3">
      <c r="A5" t="s">
        <v>10</v>
      </c>
      <c r="B5" t="s">
        <v>11</v>
      </c>
      <c r="C5" s="1">
        <v>2420</v>
      </c>
      <c r="D5" s="1">
        <v>6003</v>
      </c>
      <c r="F5" t="s">
        <v>116</v>
      </c>
      <c r="G5" t="s">
        <v>11</v>
      </c>
      <c r="H5" s="1">
        <v>2926</v>
      </c>
      <c r="I5" s="1">
        <v>885082</v>
      </c>
      <c r="K5" t="s">
        <v>117</v>
      </c>
      <c r="L5" t="s">
        <v>11</v>
      </c>
      <c r="M5" s="1">
        <v>1810</v>
      </c>
      <c r="N5" s="1">
        <v>2646839</v>
      </c>
    </row>
    <row r="6" spans="1:14" x14ac:dyDescent="0.3">
      <c r="A6" t="s">
        <v>10</v>
      </c>
      <c r="B6" t="s">
        <v>12</v>
      </c>
      <c r="C6" s="1">
        <v>2440</v>
      </c>
      <c r="D6" s="1">
        <v>1055</v>
      </c>
      <c r="F6" t="s">
        <v>116</v>
      </c>
      <c r="G6" t="s">
        <v>12</v>
      </c>
      <c r="H6" s="1">
        <v>2910</v>
      </c>
      <c r="I6" s="1">
        <v>426353</v>
      </c>
      <c r="K6" t="s">
        <v>117</v>
      </c>
      <c r="L6" t="s">
        <v>12</v>
      </c>
      <c r="M6" s="1">
        <v>1784</v>
      </c>
      <c r="N6" s="1">
        <v>10581481</v>
      </c>
    </row>
    <row r="7" spans="1:14" x14ac:dyDescent="0.3">
      <c r="A7" t="s">
        <v>10</v>
      </c>
      <c r="B7" t="s">
        <v>13</v>
      </c>
      <c r="C7" s="1">
        <v>2410</v>
      </c>
      <c r="D7" s="1">
        <v>5739</v>
      </c>
      <c r="F7" t="s">
        <v>116</v>
      </c>
      <c r="G7" t="s">
        <v>13</v>
      </c>
      <c r="H7" s="1">
        <v>2960</v>
      </c>
      <c r="I7" s="1">
        <v>1206623</v>
      </c>
      <c r="K7" t="s">
        <v>117</v>
      </c>
      <c r="L7" t="s">
        <v>13</v>
      </c>
      <c r="M7" s="1">
        <v>1790</v>
      </c>
      <c r="N7" s="1">
        <v>688983</v>
      </c>
    </row>
    <row r="8" spans="1:14" x14ac:dyDescent="0.3">
      <c r="A8" t="s">
        <v>10</v>
      </c>
      <c r="B8" t="s">
        <v>14</v>
      </c>
      <c r="C8" s="1">
        <v>2390</v>
      </c>
      <c r="D8" s="1">
        <v>1436</v>
      </c>
      <c r="F8" t="s">
        <v>116</v>
      </c>
      <c r="G8" t="s">
        <v>14</v>
      </c>
      <c r="H8" s="1">
        <v>2988</v>
      </c>
      <c r="I8" s="1">
        <v>1253037</v>
      </c>
      <c r="K8" t="s">
        <v>117</v>
      </c>
      <c r="L8" t="s">
        <v>14</v>
      </c>
      <c r="M8" s="1">
        <v>1792</v>
      </c>
      <c r="N8" s="1">
        <v>466982</v>
      </c>
    </row>
    <row r="9" spans="1:14" x14ac:dyDescent="0.3">
      <c r="A9" t="s">
        <v>10</v>
      </c>
      <c r="B9" t="s">
        <v>15</v>
      </c>
      <c r="C9" s="1">
        <v>2420</v>
      </c>
      <c r="D9" s="1">
        <v>1261</v>
      </c>
      <c r="F9" t="s">
        <v>116</v>
      </c>
      <c r="G9" t="s">
        <v>15</v>
      </c>
      <c r="H9" s="1">
        <v>2966</v>
      </c>
      <c r="I9" s="1">
        <v>391741</v>
      </c>
      <c r="K9" t="s">
        <v>117</v>
      </c>
      <c r="L9" t="s">
        <v>15</v>
      </c>
      <c r="M9" s="1">
        <v>1788</v>
      </c>
      <c r="N9" s="1">
        <v>198092</v>
      </c>
    </row>
    <row r="10" spans="1:14" x14ac:dyDescent="0.3">
      <c r="A10" t="s">
        <v>10</v>
      </c>
      <c r="B10" t="s">
        <v>16</v>
      </c>
      <c r="C10" s="1">
        <v>2400</v>
      </c>
      <c r="D10" s="1">
        <v>400</v>
      </c>
      <c r="F10" t="s">
        <v>116</v>
      </c>
      <c r="G10" t="s">
        <v>16</v>
      </c>
      <c r="H10" s="1">
        <v>2994</v>
      </c>
      <c r="I10" s="1">
        <v>1193803</v>
      </c>
      <c r="K10" t="s">
        <v>117</v>
      </c>
      <c r="L10" t="s">
        <v>16</v>
      </c>
      <c r="M10" s="1">
        <v>1800</v>
      </c>
      <c r="N10" s="1">
        <v>1543927</v>
      </c>
    </row>
    <row r="11" spans="1:14" x14ac:dyDescent="0.3">
      <c r="A11" t="s">
        <v>10</v>
      </c>
      <c r="B11" t="s">
        <v>17</v>
      </c>
      <c r="C11" s="1">
        <v>2380</v>
      </c>
      <c r="D11" s="1">
        <v>4242</v>
      </c>
      <c r="F11" t="s">
        <v>116</v>
      </c>
      <c r="G11" t="s">
        <v>17</v>
      </c>
      <c r="H11" s="1">
        <v>2990</v>
      </c>
      <c r="I11" s="1">
        <v>681788</v>
      </c>
      <c r="K11" t="s">
        <v>117</v>
      </c>
      <c r="L11" t="s">
        <v>17</v>
      </c>
      <c r="M11" s="1">
        <v>1798</v>
      </c>
      <c r="N11" s="1">
        <v>568590</v>
      </c>
    </row>
    <row r="12" spans="1:14" x14ac:dyDescent="0.3">
      <c r="A12" t="s">
        <v>10</v>
      </c>
      <c r="B12" t="s">
        <v>18</v>
      </c>
      <c r="C12" s="1">
        <v>2380</v>
      </c>
      <c r="D12" s="1">
        <v>844</v>
      </c>
      <c r="F12" t="s">
        <v>116</v>
      </c>
      <c r="G12" t="s">
        <v>18</v>
      </c>
      <c r="H12" s="1">
        <v>2972</v>
      </c>
      <c r="I12" s="1">
        <v>673050</v>
      </c>
      <c r="K12" t="s">
        <v>117</v>
      </c>
      <c r="L12" t="s">
        <v>18</v>
      </c>
      <c r="M12" s="1">
        <v>1776</v>
      </c>
      <c r="N12" s="1">
        <v>389567</v>
      </c>
    </row>
    <row r="13" spans="1:14" x14ac:dyDescent="0.3">
      <c r="A13" t="s">
        <v>10</v>
      </c>
      <c r="B13" t="s">
        <v>19</v>
      </c>
      <c r="C13" s="1">
        <v>2450</v>
      </c>
      <c r="D13" s="1">
        <v>6318</v>
      </c>
      <c r="F13" t="s">
        <v>116</v>
      </c>
      <c r="G13" t="s">
        <v>19</v>
      </c>
      <c r="H13" s="1">
        <v>2964</v>
      </c>
      <c r="I13" s="1">
        <v>459489</v>
      </c>
      <c r="K13" t="s">
        <v>117</v>
      </c>
      <c r="L13" t="s">
        <v>19</v>
      </c>
      <c r="M13" s="1">
        <v>1786</v>
      </c>
      <c r="N13" s="1">
        <v>380026</v>
      </c>
    </row>
    <row r="14" spans="1:14" x14ac:dyDescent="0.3">
      <c r="A14" t="s">
        <v>10</v>
      </c>
      <c r="B14" t="s">
        <v>20</v>
      </c>
      <c r="C14" s="1">
        <v>2440</v>
      </c>
      <c r="D14" s="1">
        <v>7691</v>
      </c>
      <c r="F14" t="s">
        <v>116</v>
      </c>
      <c r="G14" t="s">
        <v>20</v>
      </c>
      <c r="H14" s="1">
        <v>2952</v>
      </c>
      <c r="I14" s="1">
        <v>499830</v>
      </c>
      <c r="K14" t="s">
        <v>117</v>
      </c>
      <c r="L14" t="s">
        <v>20</v>
      </c>
      <c r="M14" s="1">
        <v>1786</v>
      </c>
      <c r="N14" s="1">
        <v>347477</v>
      </c>
    </row>
    <row r="15" spans="1:14" x14ac:dyDescent="0.3">
      <c r="A15" t="s">
        <v>10</v>
      </c>
      <c r="B15" t="s">
        <v>21</v>
      </c>
      <c r="C15" s="1">
        <v>2400</v>
      </c>
      <c r="D15" s="1">
        <v>2686</v>
      </c>
      <c r="F15" t="s">
        <v>116</v>
      </c>
      <c r="G15" t="s">
        <v>21</v>
      </c>
      <c r="H15" s="1">
        <v>2956</v>
      </c>
      <c r="I15" s="1">
        <v>188620</v>
      </c>
      <c r="K15" t="s">
        <v>117</v>
      </c>
      <c r="L15" t="s">
        <v>21</v>
      </c>
      <c r="M15" s="1">
        <v>1796</v>
      </c>
      <c r="N15" s="1">
        <v>154626</v>
      </c>
    </row>
    <row r="16" spans="1:14" x14ac:dyDescent="0.3">
      <c r="A16" t="s">
        <v>10</v>
      </c>
      <c r="B16" t="s">
        <v>22</v>
      </c>
      <c r="C16" s="1">
        <v>2420</v>
      </c>
      <c r="D16" s="1">
        <v>7991</v>
      </c>
      <c r="F16" t="s">
        <v>116</v>
      </c>
      <c r="G16" t="s">
        <v>22</v>
      </c>
      <c r="H16" s="1">
        <v>2954</v>
      </c>
      <c r="I16" s="1">
        <v>541673</v>
      </c>
      <c r="K16" t="s">
        <v>117</v>
      </c>
      <c r="L16" t="s">
        <v>22</v>
      </c>
      <c r="M16" s="1">
        <v>1780</v>
      </c>
      <c r="N16" s="1">
        <v>350247</v>
      </c>
    </row>
    <row r="17" spans="1:14" x14ac:dyDescent="0.3">
      <c r="A17" t="s">
        <v>10</v>
      </c>
      <c r="B17" t="s">
        <v>23</v>
      </c>
      <c r="C17" s="1">
        <v>2580</v>
      </c>
      <c r="D17" s="1">
        <v>23933</v>
      </c>
      <c r="F17" t="s">
        <v>116</v>
      </c>
      <c r="G17" t="s">
        <v>23</v>
      </c>
      <c r="H17" s="1">
        <v>2970</v>
      </c>
      <c r="I17" s="1">
        <v>281658</v>
      </c>
      <c r="K17" t="s">
        <v>117</v>
      </c>
      <c r="L17" t="s">
        <v>23</v>
      </c>
      <c r="M17" s="1">
        <v>1774</v>
      </c>
      <c r="N17" s="1">
        <v>438740</v>
      </c>
    </row>
    <row r="18" spans="1:14" x14ac:dyDescent="0.3">
      <c r="A18" t="s">
        <v>10</v>
      </c>
      <c r="B18" t="s">
        <v>24</v>
      </c>
      <c r="C18" s="1">
        <v>2690</v>
      </c>
      <c r="D18" s="1">
        <v>29644</v>
      </c>
      <c r="F18" t="s">
        <v>116</v>
      </c>
      <c r="G18" t="s">
        <v>24</v>
      </c>
      <c r="H18" s="1">
        <v>2968</v>
      </c>
      <c r="I18" s="1">
        <v>362194</v>
      </c>
      <c r="K18" t="s">
        <v>117</v>
      </c>
      <c r="L18" t="s">
        <v>24</v>
      </c>
      <c r="M18" s="1">
        <v>1772</v>
      </c>
      <c r="N18" s="1">
        <v>293694</v>
      </c>
    </row>
    <row r="19" spans="1:14" x14ac:dyDescent="0.3">
      <c r="A19" t="s">
        <v>10</v>
      </c>
      <c r="B19" t="s">
        <v>25</v>
      </c>
      <c r="C19" s="1">
        <v>2700</v>
      </c>
      <c r="D19" s="1">
        <v>25026</v>
      </c>
      <c r="F19" t="s">
        <v>116</v>
      </c>
      <c r="G19" t="s">
        <v>25</v>
      </c>
      <c r="H19" s="1">
        <v>3020</v>
      </c>
      <c r="I19" s="1">
        <v>1038783</v>
      </c>
      <c r="K19" t="s">
        <v>117</v>
      </c>
      <c r="L19" t="s">
        <v>25</v>
      </c>
      <c r="M19" s="1">
        <v>1776</v>
      </c>
      <c r="N19" s="1">
        <v>356230</v>
      </c>
    </row>
    <row r="20" spans="1:14" x14ac:dyDescent="0.3">
      <c r="A20" t="s">
        <v>10</v>
      </c>
      <c r="B20" t="s">
        <v>26</v>
      </c>
      <c r="C20" s="1">
        <v>2700</v>
      </c>
      <c r="D20" s="1">
        <v>2606</v>
      </c>
      <c r="F20" t="s">
        <v>116</v>
      </c>
      <c r="G20" t="s">
        <v>26</v>
      </c>
      <c r="H20" s="1">
        <v>3016</v>
      </c>
      <c r="I20" s="1">
        <v>204283</v>
      </c>
      <c r="K20" t="s">
        <v>117</v>
      </c>
      <c r="L20" t="s">
        <v>26</v>
      </c>
      <c r="M20" s="1">
        <v>1768</v>
      </c>
      <c r="N20" s="1">
        <v>90740</v>
      </c>
    </row>
    <row r="21" spans="1:14" x14ac:dyDescent="0.3">
      <c r="A21" t="s">
        <v>10</v>
      </c>
      <c r="B21" t="s">
        <v>27</v>
      </c>
      <c r="C21" s="1">
        <v>2670</v>
      </c>
      <c r="D21" s="1">
        <v>5729</v>
      </c>
      <c r="F21" t="s">
        <v>116</v>
      </c>
      <c r="G21" t="s">
        <v>27</v>
      </c>
      <c r="H21" s="1">
        <v>2982</v>
      </c>
      <c r="I21" s="1">
        <v>179322</v>
      </c>
      <c r="K21" t="s">
        <v>117</v>
      </c>
      <c r="L21" t="s">
        <v>27</v>
      </c>
      <c r="M21" s="1">
        <v>1782</v>
      </c>
      <c r="N21" s="1">
        <v>198444</v>
      </c>
    </row>
    <row r="22" spans="1:14" x14ac:dyDescent="0.3">
      <c r="A22" t="s">
        <v>10</v>
      </c>
      <c r="B22" t="s">
        <v>28</v>
      </c>
      <c r="C22" s="1">
        <v>2650</v>
      </c>
      <c r="D22" s="1">
        <v>4153</v>
      </c>
      <c r="F22" t="s">
        <v>116</v>
      </c>
      <c r="G22" t="s">
        <v>28</v>
      </c>
      <c r="H22" s="1">
        <v>3000</v>
      </c>
      <c r="I22" s="1">
        <v>257301</v>
      </c>
      <c r="K22" t="s">
        <v>117</v>
      </c>
      <c r="L22" t="s">
        <v>28</v>
      </c>
      <c r="M22" s="1">
        <v>1764</v>
      </c>
      <c r="N22" s="1">
        <v>250569</v>
      </c>
    </row>
    <row r="23" spans="1:14" x14ac:dyDescent="0.3">
      <c r="A23" t="s">
        <v>10</v>
      </c>
      <c r="B23" t="s">
        <v>29</v>
      </c>
      <c r="C23" s="1">
        <v>2650</v>
      </c>
      <c r="D23" s="1">
        <v>5949</v>
      </c>
      <c r="F23" t="s">
        <v>116</v>
      </c>
      <c r="G23" t="s">
        <v>29</v>
      </c>
      <c r="H23" s="1">
        <v>3012</v>
      </c>
      <c r="I23" s="1">
        <v>422935</v>
      </c>
      <c r="K23" t="s">
        <v>117</v>
      </c>
      <c r="L23" t="s">
        <v>29</v>
      </c>
      <c r="M23" s="1">
        <v>1778</v>
      </c>
      <c r="N23" s="1">
        <v>228593</v>
      </c>
    </row>
    <row r="24" spans="1:14" x14ac:dyDescent="0.3">
      <c r="A24" t="s">
        <v>10</v>
      </c>
      <c r="B24" t="s">
        <v>30</v>
      </c>
      <c r="C24" s="1">
        <v>2700</v>
      </c>
      <c r="D24" s="1">
        <v>5421</v>
      </c>
      <c r="F24" t="s">
        <v>116</v>
      </c>
      <c r="G24" t="s">
        <v>30</v>
      </c>
      <c r="H24" s="1">
        <v>3030</v>
      </c>
      <c r="I24" s="1">
        <v>470316</v>
      </c>
      <c r="K24" t="s">
        <v>117</v>
      </c>
      <c r="L24" t="s">
        <v>30</v>
      </c>
      <c r="M24" s="1">
        <v>1776</v>
      </c>
      <c r="N24" s="1">
        <v>188970</v>
      </c>
    </row>
    <row r="25" spans="1:14" x14ac:dyDescent="0.3">
      <c r="A25" t="s">
        <v>10</v>
      </c>
      <c r="B25" t="s">
        <v>31</v>
      </c>
      <c r="C25" s="1">
        <v>2790</v>
      </c>
      <c r="D25" s="1">
        <v>67483</v>
      </c>
      <c r="F25" t="s">
        <v>116</v>
      </c>
      <c r="G25" t="s">
        <v>31</v>
      </c>
      <c r="H25" s="1">
        <v>3030</v>
      </c>
      <c r="I25" s="1">
        <v>430934</v>
      </c>
      <c r="K25" t="s">
        <v>117</v>
      </c>
      <c r="L25" t="s">
        <v>31</v>
      </c>
      <c r="M25" s="1">
        <v>1782</v>
      </c>
      <c r="N25" s="1">
        <v>190449</v>
      </c>
    </row>
    <row r="26" spans="1:14" x14ac:dyDescent="0.3">
      <c r="A26" t="s">
        <v>10</v>
      </c>
      <c r="B26" t="s">
        <v>32</v>
      </c>
      <c r="C26" s="1">
        <v>2950</v>
      </c>
      <c r="D26" s="1">
        <v>79698</v>
      </c>
      <c r="F26" t="s">
        <v>116</v>
      </c>
      <c r="G26" t="s">
        <v>32</v>
      </c>
      <c r="H26" s="1">
        <v>3014</v>
      </c>
      <c r="I26" s="1">
        <v>554983</v>
      </c>
      <c r="K26" t="s">
        <v>117</v>
      </c>
      <c r="L26" t="s">
        <v>32</v>
      </c>
      <c r="M26" s="1">
        <v>1790</v>
      </c>
      <c r="N26" s="1">
        <v>216053</v>
      </c>
    </row>
    <row r="27" spans="1:14" x14ac:dyDescent="0.3">
      <c r="A27" t="s">
        <v>10</v>
      </c>
      <c r="B27" t="s">
        <v>33</v>
      </c>
      <c r="C27" s="1">
        <v>2900</v>
      </c>
      <c r="D27" s="1">
        <v>30756</v>
      </c>
      <c r="F27" t="s">
        <v>116</v>
      </c>
      <c r="G27" t="s">
        <v>33</v>
      </c>
      <c r="H27" s="1">
        <v>3024</v>
      </c>
      <c r="I27" s="1">
        <v>206572</v>
      </c>
      <c r="K27" t="s">
        <v>117</v>
      </c>
      <c r="L27" t="s">
        <v>33</v>
      </c>
      <c r="M27" s="1">
        <v>1790</v>
      </c>
      <c r="N27" s="1">
        <v>442534</v>
      </c>
    </row>
    <row r="28" spans="1:14" x14ac:dyDescent="0.3">
      <c r="A28" t="s">
        <v>10</v>
      </c>
      <c r="B28" t="s">
        <v>34</v>
      </c>
      <c r="C28" s="1">
        <v>2860</v>
      </c>
      <c r="D28" s="1">
        <v>7095</v>
      </c>
      <c r="F28" t="s">
        <v>116</v>
      </c>
      <c r="G28" t="s">
        <v>34</v>
      </c>
      <c r="H28" s="1">
        <v>2996</v>
      </c>
      <c r="I28" s="1">
        <v>244030</v>
      </c>
      <c r="K28" t="s">
        <v>117</v>
      </c>
      <c r="L28" t="s">
        <v>34</v>
      </c>
      <c r="M28" s="1">
        <v>1774</v>
      </c>
      <c r="N28" s="1">
        <v>413740</v>
      </c>
    </row>
    <row r="29" spans="1:14" x14ac:dyDescent="0.3">
      <c r="A29" t="s">
        <v>10</v>
      </c>
      <c r="B29" t="s">
        <v>35</v>
      </c>
      <c r="C29" s="1">
        <v>2900</v>
      </c>
      <c r="D29" s="1">
        <v>13240</v>
      </c>
      <c r="F29" t="s">
        <v>116</v>
      </c>
      <c r="G29" t="s">
        <v>35</v>
      </c>
      <c r="H29" s="1">
        <v>3020</v>
      </c>
      <c r="I29" s="1">
        <v>332166</v>
      </c>
      <c r="K29" t="s">
        <v>117</v>
      </c>
      <c r="L29" t="s">
        <v>35</v>
      </c>
      <c r="M29" s="1">
        <v>1774</v>
      </c>
      <c r="N29" s="1">
        <v>377537</v>
      </c>
    </row>
    <row r="30" spans="1:14" x14ac:dyDescent="0.3">
      <c r="A30" t="s">
        <v>10</v>
      </c>
      <c r="B30" t="s">
        <v>36</v>
      </c>
      <c r="C30" s="1">
        <v>2920</v>
      </c>
      <c r="D30" s="1">
        <v>4396</v>
      </c>
      <c r="F30" t="s">
        <v>116</v>
      </c>
      <c r="G30" t="s">
        <v>36</v>
      </c>
      <c r="H30" s="1">
        <v>3050</v>
      </c>
      <c r="I30" s="1">
        <v>755534</v>
      </c>
      <c r="K30" t="s">
        <v>117</v>
      </c>
      <c r="L30" t="s">
        <v>36</v>
      </c>
      <c r="M30" s="1">
        <v>1772</v>
      </c>
      <c r="N30" s="1">
        <v>214944</v>
      </c>
    </row>
    <row r="31" spans="1:14" x14ac:dyDescent="0.3">
      <c r="A31" t="s">
        <v>10</v>
      </c>
      <c r="B31" t="s">
        <v>37</v>
      </c>
      <c r="C31" s="1">
        <v>2920</v>
      </c>
      <c r="D31" s="1">
        <v>4463</v>
      </c>
      <c r="F31" t="s">
        <v>116</v>
      </c>
      <c r="G31" t="s">
        <v>37</v>
      </c>
      <c r="H31" s="1">
        <v>3042</v>
      </c>
      <c r="I31" s="1">
        <v>206777</v>
      </c>
      <c r="K31" t="s">
        <v>117</v>
      </c>
      <c r="L31" t="s">
        <v>37</v>
      </c>
      <c r="M31" s="1">
        <v>1774</v>
      </c>
      <c r="N31" s="1">
        <v>87552</v>
      </c>
    </row>
    <row r="32" spans="1:14" x14ac:dyDescent="0.3">
      <c r="A32" t="s">
        <v>10</v>
      </c>
      <c r="B32" t="s">
        <v>38</v>
      </c>
      <c r="C32" s="1">
        <v>2880</v>
      </c>
      <c r="D32" s="1">
        <v>7186</v>
      </c>
      <c r="F32" t="s">
        <v>116</v>
      </c>
      <c r="G32" t="s">
        <v>38</v>
      </c>
      <c r="H32" s="1">
        <v>3020</v>
      </c>
      <c r="I32" s="1">
        <v>301506</v>
      </c>
      <c r="K32" t="s">
        <v>117</v>
      </c>
      <c r="L32" t="s">
        <v>38</v>
      </c>
      <c r="M32" s="1">
        <v>1770</v>
      </c>
      <c r="N32" s="1">
        <v>159383</v>
      </c>
    </row>
    <row r="33" spans="1:14" x14ac:dyDescent="0.3">
      <c r="A33" t="s">
        <v>10</v>
      </c>
      <c r="B33" t="s">
        <v>39</v>
      </c>
      <c r="C33" s="1">
        <v>2860</v>
      </c>
      <c r="D33" s="1">
        <v>2239</v>
      </c>
      <c r="F33" t="s">
        <v>116</v>
      </c>
      <c r="G33" t="s">
        <v>39</v>
      </c>
      <c r="H33" s="1">
        <v>3058</v>
      </c>
      <c r="I33" s="1">
        <v>928106</v>
      </c>
      <c r="K33" t="s">
        <v>117</v>
      </c>
      <c r="L33" t="s">
        <v>39</v>
      </c>
      <c r="M33" s="1">
        <v>1752</v>
      </c>
      <c r="N33" s="1">
        <v>429769</v>
      </c>
    </row>
    <row r="34" spans="1:14" x14ac:dyDescent="0.3">
      <c r="A34" t="s">
        <v>10</v>
      </c>
      <c r="B34" t="s">
        <v>40</v>
      </c>
      <c r="C34" s="1">
        <v>2840</v>
      </c>
      <c r="D34" s="1">
        <v>13078</v>
      </c>
      <c r="F34" t="s">
        <v>116</v>
      </c>
      <c r="G34" t="s">
        <v>40</v>
      </c>
      <c r="H34" s="1">
        <v>3072</v>
      </c>
      <c r="I34" s="1">
        <v>454555</v>
      </c>
      <c r="K34" t="s">
        <v>117</v>
      </c>
      <c r="L34" t="s">
        <v>40</v>
      </c>
      <c r="M34" s="1">
        <v>1762</v>
      </c>
      <c r="N34" s="1">
        <v>246559</v>
      </c>
    </row>
    <row r="35" spans="1:14" x14ac:dyDescent="0.3">
      <c r="A35" t="s">
        <v>10</v>
      </c>
      <c r="B35" t="s">
        <v>41</v>
      </c>
      <c r="C35" s="1">
        <v>2830</v>
      </c>
      <c r="D35" s="1">
        <v>5078</v>
      </c>
      <c r="F35" t="s">
        <v>116</v>
      </c>
      <c r="G35" t="s">
        <v>41</v>
      </c>
      <c r="H35" s="1">
        <v>3080</v>
      </c>
      <c r="I35" s="1">
        <v>316128</v>
      </c>
      <c r="K35" t="s">
        <v>117</v>
      </c>
      <c r="L35" t="s">
        <v>41</v>
      </c>
      <c r="M35" s="1">
        <v>1760</v>
      </c>
      <c r="N35" s="1">
        <v>306122</v>
      </c>
    </row>
    <row r="36" spans="1:14" x14ac:dyDescent="0.3">
      <c r="A36" t="s">
        <v>10</v>
      </c>
      <c r="B36" t="s">
        <v>42</v>
      </c>
      <c r="C36" s="1">
        <v>2890</v>
      </c>
      <c r="D36" s="1">
        <v>6399</v>
      </c>
      <c r="F36" t="s">
        <v>116</v>
      </c>
      <c r="G36" t="s">
        <v>42</v>
      </c>
      <c r="H36" s="1">
        <v>3070</v>
      </c>
      <c r="I36" s="1">
        <v>704484</v>
      </c>
      <c r="K36" t="s">
        <v>117</v>
      </c>
      <c r="L36" t="s">
        <v>42</v>
      </c>
      <c r="M36" s="1">
        <v>1750</v>
      </c>
      <c r="N36" s="1">
        <v>264872</v>
      </c>
    </row>
    <row r="37" spans="1:14" x14ac:dyDescent="0.3">
      <c r="A37" t="s">
        <v>10</v>
      </c>
      <c r="B37" t="s">
        <v>43</v>
      </c>
      <c r="C37" s="1">
        <v>2860</v>
      </c>
      <c r="D37" s="1">
        <v>8191</v>
      </c>
      <c r="F37" t="s">
        <v>116</v>
      </c>
      <c r="G37" t="s">
        <v>43</v>
      </c>
      <c r="H37" s="1">
        <v>3042</v>
      </c>
      <c r="I37" s="1">
        <v>480212</v>
      </c>
      <c r="K37" t="s">
        <v>117</v>
      </c>
      <c r="L37" t="s">
        <v>43</v>
      </c>
      <c r="M37" s="1">
        <v>1750</v>
      </c>
      <c r="N37" s="1">
        <v>379179</v>
      </c>
    </row>
    <row r="38" spans="1:14" x14ac:dyDescent="0.3">
      <c r="A38" t="s">
        <v>10</v>
      </c>
      <c r="B38" t="s">
        <v>44</v>
      </c>
      <c r="C38" s="1">
        <v>2870</v>
      </c>
      <c r="D38" s="1">
        <v>1266</v>
      </c>
      <c r="F38" t="s">
        <v>116</v>
      </c>
      <c r="G38" t="s">
        <v>44</v>
      </c>
      <c r="H38" s="1">
        <v>3050</v>
      </c>
      <c r="I38" s="1">
        <v>426072</v>
      </c>
      <c r="K38" t="s">
        <v>117</v>
      </c>
      <c r="L38" t="s">
        <v>44</v>
      </c>
      <c r="M38" s="1">
        <v>1758</v>
      </c>
      <c r="N38" s="1">
        <v>201094</v>
      </c>
    </row>
    <row r="39" spans="1:14" x14ac:dyDescent="0.3">
      <c r="A39" t="s">
        <v>10</v>
      </c>
      <c r="B39" t="s">
        <v>45</v>
      </c>
      <c r="C39" s="1">
        <v>2890</v>
      </c>
      <c r="D39" s="1">
        <v>6565</v>
      </c>
      <c r="F39" t="s">
        <v>116</v>
      </c>
      <c r="G39" t="s">
        <v>45</v>
      </c>
      <c r="H39" s="1">
        <v>3050</v>
      </c>
      <c r="I39" s="1">
        <v>730465</v>
      </c>
      <c r="K39" t="s">
        <v>117</v>
      </c>
      <c r="L39" t="s">
        <v>45</v>
      </c>
      <c r="M39" s="1">
        <v>1742</v>
      </c>
      <c r="N39" s="1">
        <v>442632</v>
      </c>
    </row>
    <row r="40" spans="1:14" x14ac:dyDescent="0.3">
      <c r="A40" t="s">
        <v>10</v>
      </c>
      <c r="B40" t="s">
        <v>46</v>
      </c>
      <c r="C40" s="1">
        <v>2830</v>
      </c>
      <c r="D40" s="1">
        <v>2752</v>
      </c>
      <c r="F40" t="s">
        <v>116</v>
      </c>
      <c r="G40" t="s">
        <v>46</v>
      </c>
      <c r="H40" s="1">
        <v>3022</v>
      </c>
      <c r="I40" s="1">
        <v>283648</v>
      </c>
      <c r="K40" t="s">
        <v>117</v>
      </c>
      <c r="L40" t="s">
        <v>46</v>
      </c>
      <c r="M40" s="1">
        <v>1738</v>
      </c>
      <c r="N40" s="1">
        <v>273414</v>
      </c>
    </row>
    <row r="41" spans="1:14" x14ac:dyDescent="0.3">
      <c r="A41" t="s">
        <v>10</v>
      </c>
      <c r="B41" t="s">
        <v>47</v>
      </c>
      <c r="C41" s="1">
        <v>2850</v>
      </c>
      <c r="D41" s="1">
        <v>2430</v>
      </c>
      <c r="F41" t="s">
        <v>116</v>
      </c>
      <c r="G41" t="s">
        <v>47</v>
      </c>
      <c r="H41" s="1">
        <v>3000</v>
      </c>
      <c r="I41" s="1">
        <v>307638</v>
      </c>
      <c r="K41" t="s">
        <v>117</v>
      </c>
      <c r="L41" t="s">
        <v>47</v>
      </c>
      <c r="M41" s="1">
        <v>1752</v>
      </c>
      <c r="N41" s="1">
        <v>162830</v>
      </c>
    </row>
    <row r="42" spans="1:14" x14ac:dyDescent="0.3">
      <c r="A42" t="s">
        <v>10</v>
      </c>
      <c r="B42" t="s">
        <v>48</v>
      </c>
      <c r="C42" s="1">
        <v>2840</v>
      </c>
      <c r="D42" s="1">
        <v>3487</v>
      </c>
      <c r="F42" t="s">
        <v>116</v>
      </c>
      <c r="G42" t="s">
        <v>48</v>
      </c>
      <c r="H42" s="1">
        <v>3022</v>
      </c>
      <c r="I42" s="1">
        <v>555918</v>
      </c>
      <c r="K42" t="s">
        <v>117</v>
      </c>
      <c r="L42" t="s">
        <v>48</v>
      </c>
      <c r="M42" s="1">
        <v>1754</v>
      </c>
      <c r="N42" s="1">
        <v>368563</v>
      </c>
    </row>
    <row r="43" spans="1:14" x14ac:dyDescent="0.3">
      <c r="A43" t="s">
        <v>10</v>
      </c>
      <c r="B43" t="s">
        <v>49</v>
      </c>
      <c r="C43" s="1">
        <v>2830</v>
      </c>
      <c r="D43" s="1">
        <v>3435</v>
      </c>
      <c r="F43" t="s">
        <v>116</v>
      </c>
      <c r="G43" t="s">
        <v>49</v>
      </c>
      <c r="H43" s="1">
        <v>3008</v>
      </c>
      <c r="I43" s="1">
        <v>245298</v>
      </c>
      <c r="K43" t="s">
        <v>117</v>
      </c>
      <c r="L43" t="s">
        <v>49</v>
      </c>
      <c r="M43" s="1">
        <v>1750</v>
      </c>
      <c r="N43" s="1">
        <v>229516</v>
      </c>
    </row>
    <row r="44" spans="1:14" x14ac:dyDescent="0.3">
      <c r="A44" t="s">
        <v>10</v>
      </c>
      <c r="B44" t="s">
        <v>50</v>
      </c>
      <c r="C44" s="1">
        <v>2800</v>
      </c>
      <c r="D44" s="1">
        <v>8122</v>
      </c>
      <c r="F44" t="s">
        <v>116</v>
      </c>
      <c r="G44" t="s">
        <v>50</v>
      </c>
      <c r="H44" s="1">
        <v>3010</v>
      </c>
      <c r="I44" s="1">
        <v>405752</v>
      </c>
      <c r="K44" t="s">
        <v>117</v>
      </c>
      <c r="L44" t="s">
        <v>50</v>
      </c>
      <c r="M44" s="1">
        <v>1818</v>
      </c>
      <c r="N44" s="1">
        <v>1274188</v>
      </c>
    </row>
    <row r="45" spans="1:14" x14ac:dyDescent="0.3">
      <c r="A45" t="s">
        <v>10</v>
      </c>
      <c r="B45" t="s">
        <v>51</v>
      </c>
      <c r="C45" s="1">
        <v>2830</v>
      </c>
      <c r="D45" s="1">
        <v>2965</v>
      </c>
      <c r="F45" t="s">
        <v>116</v>
      </c>
      <c r="G45" t="s">
        <v>51</v>
      </c>
      <c r="H45" s="1">
        <v>2998</v>
      </c>
      <c r="I45" s="1">
        <v>886636</v>
      </c>
      <c r="K45" t="s">
        <v>117</v>
      </c>
      <c r="L45" t="s">
        <v>51</v>
      </c>
      <c r="M45" s="1">
        <v>1818</v>
      </c>
      <c r="N45" s="1">
        <v>439143</v>
      </c>
    </row>
    <row r="46" spans="1:14" x14ac:dyDescent="0.3">
      <c r="A46" t="s">
        <v>10</v>
      </c>
      <c r="B46" t="s">
        <v>52</v>
      </c>
      <c r="C46" s="1">
        <v>2800</v>
      </c>
      <c r="D46" s="1">
        <v>9329</v>
      </c>
      <c r="F46" t="s">
        <v>116</v>
      </c>
      <c r="G46" t="s">
        <v>52</v>
      </c>
      <c r="H46" s="1">
        <v>2968</v>
      </c>
      <c r="I46" s="1">
        <v>303652</v>
      </c>
      <c r="K46" t="s">
        <v>117</v>
      </c>
      <c r="L46" t="s">
        <v>52</v>
      </c>
      <c r="M46" s="1">
        <v>1848</v>
      </c>
      <c r="N46" s="1">
        <v>421421</v>
      </c>
    </row>
    <row r="47" spans="1:14" x14ac:dyDescent="0.3">
      <c r="A47" t="s">
        <v>10</v>
      </c>
      <c r="B47" t="s">
        <v>53</v>
      </c>
      <c r="C47" s="1">
        <v>2780</v>
      </c>
      <c r="D47" s="1">
        <v>5299</v>
      </c>
      <c r="F47" t="s">
        <v>116</v>
      </c>
      <c r="G47" t="s">
        <v>53</v>
      </c>
      <c r="H47" s="1">
        <v>2998</v>
      </c>
      <c r="I47" s="1">
        <v>218089</v>
      </c>
      <c r="K47" t="s">
        <v>117</v>
      </c>
      <c r="L47" t="s">
        <v>53</v>
      </c>
      <c r="M47" s="1">
        <v>1874</v>
      </c>
      <c r="N47" s="1">
        <v>465541</v>
      </c>
    </row>
    <row r="48" spans="1:14" x14ac:dyDescent="0.3">
      <c r="A48" t="s">
        <v>10</v>
      </c>
      <c r="B48" t="s">
        <v>54</v>
      </c>
      <c r="C48" s="1">
        <v>2790</v>
      </c>
      <c r="D48" s="1">
        <v>723</v>
      </c>
      <c r="F48" t="s">
        <v>116</v>
      </c>
      <c r="G48" t="s">
        <v>54</v>
      </c>
      <c r="H48" s="1">
        <v>2998</v>
      </c>
      <c r="I48" s="1">
        <v>451531</v>
      </c>
      <c r="K48" t="s">
        <v>117</v>
      </c>
      <c r="L48" t="s">
        <v>54</v>
      </c>
      <c r="M48" s="1">
        <v>1900</v>
      </c>
      <c r="N48" s="1">
        <v>479053</v>
      </c>
    </row>
    <row r="49" spans="1:14" x14ac:dyDescent="0.3">
      <c r="A49" t="s">
        <v>10</v>
      </c>
      <c r="B49" t="s">
        <v>55</v>
      </c>
      <c r="C49" s="1">
        <v>2840</v>
      </c>
      <c r="D49" s="1">
        <v>3019</v>
      </c>
      <c r="F49" t="s">
        <v>116</v>
      </c>
      <c r="G49" t="s">
        <v>55</v>
      </c>
      <c r="H49" s="1">
        <v>3000</v>
      </c>
      <c r="I49" s="1">
        <v>335438</v>
      </c>
      <c r="K49" t="s">
        <v>117</v>
      </c>
      <c r="L49" t="s">
        <v>55</v>
      </c>
      <c r="M49" s="1">
        <v>1904</v>
      </c>
      <c r="N49" s="1">
        <v>482196</v>
      </c>
    </row>
    <row r="50" spans="1:14" x14ac:dyDescent="0.3">
      <c r="A50" t="s">
        <v>10</v>
      </c>
      <c r="B50" t="s">
        <v>56</v>
      </c>
      <c r="C50" s="1">
        <v>2830</v>
      </c>
      <c r="D50" s="1">
        <v>4744</v>
      </c>
      <c r="F50" t="s">
        <v>116</v>
      </c>
      <c r="G50" t="s">
        <v>56</v>
      </c>
      <c r="H50" s="1">
        <v>2976</v>
      </c>
      <c r="I50" s="1">
        <v>121183</v>
      </c>
      <c r="K50" t="s">
        <v>117</v>
      </c>
      <c r="L50" t="s">
        <v>56</v>
      </c>
      <c r="M50" s="1">
        <v>1918</v>
      </c>
      <c r="N50" s="1">
        <v>167771</v>
      </c>
    </row>
    <row r="51" spans="1:14" x14ac:dyDescent="0.3">
      <c r="A51" t="s">
        <v>10</v>
      </c>
      <c r="B51" t="s">
        <v>57</v>
      </c>
      <c r="C51" s="1">
        <v>2810</v>
      </c>
      <c r="D51" s="1">
        <v>3320</v>
      </c>
      <c r="F51" t="s">
        <v>116</v>
      </c>
      <c r="G51" t="s">
        <v>57</v>
      </c>
      <c r="H51" s="1">
        <v>3000</v>
      </c>
      <c r="I51" s="1">
        <v>391510</v>
      </c>
      <c r="K51" t="s">
        <v>117</v>
      </c>
      <c r="L51" t="s">
        <v>57</v>
      </c>
      <c r="M51" s="1">
        <v>1930</v>
      </c>
      <c r="N51" s="1">
        <v>295839</v>
      </c>
    </row>
    <row r="52" spans="1:14" x14ac:dyDescent="0.3">
      <c r="A52" t="s">
        <v>10</v>
      </c>
      <c r="B52" t="s">
        <v>58</v>
      </c>
      <c r="C52" s="1">
        <v>2810</v>
      </c>
      <c r="D52" s="1">
        <v>6669</v>
      </c>
      <c r="F52" t="s">
        <v>116</v>
      </c>
      <c r="G52" t="s">
        <v>58</v>
      </c>
      <c r="H52" s="1">
        <v>3006</v>
      </c>
      <c r="I52" s="1">
        <v>818632</v>
      </c>
      <c r="K52" t="s">
        <v>117</v>
      </c>
      <c r="L52" t="s">
        <v>58</v>
      </c>
      <c r="M52" s="1">
        <v>1984</v>
      </c>
      <c r="N52" s="1">
        <v>578372</v>
      </c>
    </row>
    <row r="53" spans="1:14" x14ac:dyDescent="0.3">
      <c r="A53" t="s">
        <v>10</v>
      </c>
      <c r="B53" t="s">
        <v>59</v>
      </c>
      <c r="C53" s="1">
        <v>2820</v>
      </c>
      <c r="D53" s="1">
        <v>1655</v>
      </c>
      <c r="F53" t="s">
        <v>116</v>
      </c>
      <c r="G53" t="s">
        <v>59</v>
      </c>
      <c r="H53" s="1">
        <v>3008</v>
      </c>
      <c r="I53" s="1">
        <v>457751</v>
      </c>
      <c r="K53" t="s">
        <v>117</v>
      </c>
      <c r="L53" t="s">
        <v>59</v>
      </c>
      <c r="M53" s="1">
        <v>1980</v>
      </c>
      <c r="N53" s="1">
        <v>310013</v>
      </c>
    </row>
    <row r="54" spans="1:14" x14ac:dyDescent="0.3">
      <c r="A54" t="s">
        <v>10</v>
      </c>
      <c r="B54" t="s">
        <v>60</v>
      </c>
      <c r="C54" s="1">
        <v>2820</v>
      </c>
      <c r="D54" s="1">
        <v>4350</v>
      </c>
      <c r="F54" t="s">
        <v>116</v>
      </c>
      <c r="G54" t="s">
        <v>60</v>
      </c>
      <c r="H54" s="1">
        <v>2950</v>
      </c>
      <c r="I54" s="1">
        <v>655606</v>
      </c>
      <c r="K54" t="s">
        <v>117</v>
      </c>
      <c r="L54" t="s">
        <v>60</v>
      </c>
      <c r="M54" s="1">
        <v>1964</v>
      </c>
      <c r="N54" s="1">
        <v>124309</v>
      </c>
    </row>
    <row r="55" spans="1:14" x14ac:dyDescent="0.3">
      <c r="A55" t="s">
        <v>10</v>
      </c>
      <c r="B55" t="s">
        <v>61</v>
      </c>
      <c r="C55" s="1">
        <v>2800</v>
      </c>
      <c r="D55" s="1">
        <v>2191</v>
      </c>
      <c r="F55" t="s">
        <v>116</v>
      </c>
      <c r="G55" t="s">
        <v>61</v>
      </c>
      <c r="H55" s="1">
        <v>2936</v>
      </c>
      <c r="I55" s="1">
        <v>432556</v>
      </c>
      <c r="K55" t="s">
        <v>117</v>
      </c>
      <c r="L55" t="s">
        <v>61</v>
      </c>
      <c r="M55" s="1">
        <v>1976</v>
      </c>
      <c r="N55" s="1">
        <v>187866</v>
      </c>
    </row>
    <row r="56" spans="1:14" x14ac:dyDescent="0.3">
      <c r="A56" t="s">
        <v>10</v>
      </c>
      <c r="B56" t="s">
        <v>62</v>
      </c>
      <c r="C56" s="1">
        <v>2800</v>
      </c>
      <c r="D56" s="1">
        <v>5854</v>
      </c>
      <c r="F56" t="s">
        <v>116</v>
      </c>
      <c r="G56" t="s">
        <v>62</v>
      </c>
      <c r="H56" s="1">
        <v>2944</v>
      </c>
      <c r="I56" s="1">
        <v>2258190</v>
      </c>
      <c r="K56" t="s">
        <v>117</v>
      </c>
      <c r="L56" t="s">
        <v>62</v>
      </c>
      <c r="M56" s="1">
        <v>1958</v>
      </c>
      <c r="N56" s="1">
        <v>649676</v>
      </c>
    </row>
    <row r="57" spans="1:14" x14ac:dyDescent="0.3">
      <c r="A57" t="s">
        <v>10</v>
      </c>
      <c r="B57" t="s">
        <v>63</v>
      </c>
      <c r="C57" s="1">
        <v>2810</v>
      </c>
      <c r="D57" s="1">
        <v>8976</v>
      </c>
      <c r="F57" t="s">
        <v>116</v>
      </c>
      <c r="G57" t="s">
        <v>63</v>
      </c>
      <c r="H57" s="1">
        <v>2966</v>
      </c>
      <c r="I57" s="1">
        <v>2433598</v>
      </c>
      <c r="K57" t="s">
        <v>117</v>
      </c>
      <c r="L57" t="s">
        <v>63</v>
      </c>
      <c r="M57" s="1">
        <v>1954</v>
      </c>
      <c r="N57" s="1">
        <v>99824</v>
      </c>
    </row>
    <row r="58" spans="1:14" x14ac:dyDescent="0.3">
      <c r="A58" t="s">
        <v>10</v>
      </c>
      <c r="B58" t="s">
        <v>64</v>
      </c>
      <c r="C58" s="1">
        <v>2800</v>
      </c>
      <c r="D58" s="1">
        <v>1440</v>
      </c>
      <c r="F58" t="s">
        <v>116</v>
      </c>
      <c r="G58" t="s">
        <v>64</v>
      </c>
      <c r="H58" s="1">
        <v>2950</v>
      </c>
      <c r="I58" s="1">
        <v>1215596</v>
      </c>
      <c r="K58" t="s">
        <v>117</v>
      </c>
      <c r="L58" t="s">
        <v>64</v>
      </c>
      <c r="M58" s="1">
        <v>1960</v>
      </c>
      <c r="N58" s="1">
        <v>77656</v>
      </c>
    </row>
    <row r="59" spans="1:14" x14ac:dyDescent="0.3">
      <c r="A59" t="s">
        <v>10</v>
      </c>
      <c r="B59" t="s">
        <v>65</v>
      </c>
      <c r="C59" s="1">
        <v>2780</v>
      </c>
      <c r="D59" s="1">
        <v>4303</v>
      </c>
      <c r="F59" t="s">
        <v>116</v>
      </c>
      <c r="G59" t="s">
        <v>65</v>
      </c>
      <c r="H59" s="1">
        <v>2914</v>
      </c>
      <c r="I59" s="1">
        <v>331895</v>
      </c>
      <c r="K59" t="s">
        <v>117</v>
      </c>
      <c r="L59" t="s">
        <v>65</v>
      </c>
      <c r="M59" s="1">
        <v>1924</v>
      </c>
      <c r="N59" s="1">
        <v>216625</v>
      </c>
    </row>
    <row r="60" spans="1:14" x14ac:dyDescent="0.3">
      <c r="A60" t="s">
        <v>10</v>
      </c>
      <c r="B60" t="s">
        <v>66</v>
      </c>
      <c r="C60" s="1">
        <v>2810</v>
      </c>
      <c r="D60" s="1">
        <v>3323</v>
      </c>
      <c r="F60" t="s">
        <v>116</v>
      </c>
      <c r="G60" t="s">
        <v>66</v>
      </c>
      <c r="H60" s="1">
        <v>2934</v>
      </c>
      <c r="I60" s="1">
        <v>556297</v>
      </c>
      <c r="K60" t="s">
        <v>117</v>
      </c>
      <c r="L60" t="s">
        <v>66</v>
      </c>
      <c r="M60" s="1">
        <v>1938</v>
      </c>
      <c r="N60" s="1">
        <v>176429</v>
      </c>
    </row>
    <row r="61" spans="1:14" x14ac:dyDescent="0.3">
      <c r="A61" t="s">
        <v>10</v>
      </c>
      <c r="B61" t="s">
        <v>67</v>
      </c>
      <c r="C61" s="1">
        <v>2740</v>
      </c>
      <c r="D61" s="1">
        <v>8475</v>
      </c>
      <c r="F61" t="s">
        <v>116</v>
      </c>
      <c r="G61" t="s">
        <v>67</v>
      </c>
      <c r="H61" s="1">
        <v>2890</v>
      </c>
      <c r="I61" s="1">
        <v>295735</v>
      </c>
      <c r="K61" t="s">
        <v>117</v>
      </c>
      <c r="L61" t="s">
        <v>67</v>
      </c>
      <c r="M61" s="1">
        <v>1902</v>
      </c>
      <c r="N61" s="1">
        <v>251371</v>
      </c>
    </row>
    <row r="62" spans="1:14" x14ac:dyDescent="0.3">
      <c r="A62" t="s">
        <v>10</v>
      </c>
      <c r="B62" t="s">
        <v>68</v>
      </c>
      <c r="C62" s="1">
        <v>2800</v>
      </c>
      <c r="D62" s="1">
        <v>3222</v>
      </c>
      <c r="F62" t="s">
        <v>116</v>
      </c>
      <c r="G62" t="s">
        <v>68</v>
      </c>
      <c r="H62" s="1">
        <v>2888</v>
      </c>
      <c r="I62" s="1">
        <v>315291</v>
      </c>
      <c r="K62" t="s">
        <v>117</v>
      </c>
      <c r="L62" t="s">
        <v>68</v>
      </c>
      <c r="M62" s="1">
        <v>1892</v>
      </c>
      <c r="N62" s="1">
        <v>483343</v>
      </c>
    </row>
    <row r="63" spans="1:14" x14ac:dyDescent="0.3">
      <c r="A63" t="s">
        <v>10</v>
      </c>
      <c r="B63" t="s">
        <v>69</v>
      </c>
      <c r="C63" s="1">
        <v>2800</v>
      </c>
      <c r="D63" s="1">
        <v>19466</v>
      </c>
      <c r="F63" t="s">
        <v>116</v>
      </c>
      <c r="G63" t="s">
        <v>69</v>
      </c>
      <c r="H63" s="1">
        <v>2924</v>
      </c>
      <c r="I63" s="1">
        <v>346694</v>
      </c>
      <c r="K63" t="s">
        <v>117</v>
      </c>
      <c r="L63" t="s">
        <v>69</v>
      </c>
      <c r="M63" s="1">
        <v>1910</v>
      </c>
      <c r="N63" s="1">
        <v>215093</v>
      </c>
    </row>
    <row r="64" spans="1:14" x14ac:dyDescent="0.3">
      <c r="A64" t="s">
        <v>10</v>
      </c>
      <c r="B64" t="s">
        <v>70</v>
      </c>
      <c r="C64" s="1">
        <v>2770</v>
      </c>
      <c r="D64" s="1">
        <v>7260</v>
      </c>
      <c r="F64" t="s">
        <v>116</v>
      </c>
      <c r="G64" t="s">
        <v>70</v>
      </c>
      <c r="H64" s="1">
        <v>2900</v>
      </c>
      <c r="I64" s="1">
        <v>464005</v>
      </c>
      <c r="K64" t="s">
        <v>117</v>
      </c>
      <c r="L64" t="s">
        <v>70</v>
      </c>
      <c r="M64" s="1">
        <v>1898</v>
      </c>
      <c r="N64" s="1">
        <v>179557</v>
      </c>
    </row>
    <row r="65" spans="1:14" x14ac:dyDescent="0.3">
      <c r="A65" t="s">
        <v>10</v>
      </c>
      <c r="B65" t="s">
        <v>71</v>
      </c>
      <c r="C65" s="1">
        <v>2790</v>
      </c>
      <c r="D65" s="1">
        <v>7138</v>
      </c>
      <c r="F65" t="s">
        <v>116</v>
      </c>
      <c r="G65" t="s">
        <v>71</v>
      </c>
      <c r="H65" s="1">
        <v>2880</v>
      </c>
      <c r="I65" s="1">
        <v>211557</v>
      </c>
      <c r="K65" t="s">
        <v>117</v>
      </c>
      <c r="L65" t="s">
        <v>71</v>
      </c>
      <c r="M65" s="1">
        <v>1882</v>
      </c>
      <c r="N65" s="1">
        <v>248192</v>
      </c>
    </row>
    <row r="66" spans="1:14" x14ac:dyDescent="0.3">
      <c r="A66" t="s">
        <v>10</v>
      </c>
      <c r="B66" t="s">
        <v>72</v>
      </c>
      <c r="C66" s="1">
        <v>2750</v>
      </c>
      <c r="D66" s="1">
        <v>2943</v>
      </c>
      <c r="F66" t="s">
        <v>116</v>
      </c>
      <c r="G66" t="s">
        <v>72</v>
      </c>
      <c r="H66" s="1">
        <v>2890</v>
      </c>
      <c r="I66" s="1">
        <v>354734</v>
      </c>
      <c r="K66" t="s">
        <v>117</v>
      </c>
      <c r="L66" t="s">
        <v>72</v>
      </c>
      <c r="M66" s="1">
        <v>1854</v>
      </c>
      <c r="N66" s="1">
        <v>633130</v>
      </c>
    </row>
    <row r="67" spans="1:14" x14ac:dyDescent="0.3">
      <c r="A67" t="s">
        <v>10</v>
      </c>
      <c r="B67" t="s">
        <v>73</v>
      </c>
      <c r="C67" s="1">
        <v>2710</v>
      </c>
      <c r="D67" s="1">
        <v>7869</v>
      </c>
      <c r="F67" t="s">
        <v>116</v>
      </c>
      <c r="G67" t="s">
        <v>73</v>
      </c>
      <c r="H67" s="1">
        <v>2898</v>
      </c>
      <c r="I67" s="1">
        <v>241094</v>
      </c>
      <c r="K67" t="s">
        <v>117</v>
      </c>
      <c r="L67" t="s">
        <v>73</v>
      </c>
      <c r="M67" s="1">
        <v>1870</v>
      </c>
      <c r="N67" s="1">
        <v>340730</v>
      </c>
    </row>
    <row r="68" spans="1:14" x14ac:dyDescent="0.3">
      <c r="A68" t="s">
        <v>10</v>
      </c>
      <c r="B68" t="s">
        <v>74</v>
      </c>
      <c r="C68" s="1">
        <v>2760</v>
      </c>
      <c r="D68" s="1">
        <v>2758</v>
      </c>
      <c r="F68" t="s">
        <v>116</v>
      </c>
      <c r="G68" t="s">
        <v>74</v>
      </c>
      <c r="H68" s="1">
        <v>2908</v>
      </c>
      <c r="I68" s="1">
        <v>202883</v>
      </c>
      <c r="K68" t="s">
        <v>117</v>
      </c>
      <c r="L68" t="s">
        <v>74</v>
      </c>
      <c r="M68" s="1">
        <v>1868</v>
      </c>
      <c r="N68" s="1">
        <v>286021</v>
      </c>
    </row>
    <row r="69" spans="1:14" x14ac:dyDescent="0.3">
      <c r="A69" t="s">
        <v>10</v>
      </c>
      <c r="B69" t="s">
        <v>75</v>
      </c>
      <c r="C69" s="1">
        <v>2750</v>
      </c>
      <c r="D69" s="1">
        <v>2008</v>
      </c>
      <c r="F69" t="s">
        <v>116</v>
      </c>
      <c r="G69" t="s">
        <v>75</v>
      </c>
      <c r="H69" s="1">
        <v>2850</v>
      </c>
      <c r="I69" s="1">
        <v>458373</v>
      </c>
      <c r="K69" t="s">
        <v>117</v>
      </c>
      <c r="L69" t="s">
        <v>75</v>
      </c>
      <c r="M69" s="1">
        <v>1868</v>
      </c>
      <c r="N69" s="1">
        <v>194731</v>
      </c>
    </row>
    <row r="70" spans="1:14" x14ac:dyDescent="0.3">
      <c r="A70" t="s">
        <v>10</v>
      </c>
      <c r="B70" t="s">
        <v>76</v>
      </c>
      <c r="C70" s="1">
        <v>2710</v>
      </c>
      <c r="D70" s="1">
        <v>9800</v>
      </c>
      <c r="F70" t="s">
        <v>116</v>
      </c>
      <c r="G70" t="s">
        <v>76</v>
      </c>
      <c r="H70" s="1">
        <v>2812</v>
      </c>
      <c r="I70" s="1">
        <v>528777</v>
      </c>
      <c r="K70" t="s">
        <v>117</v>
      </c>
      <c r="L70" t="s">
        <v>76</v>
      </c>
      <c r="M70" s="1">
        <v>1896</v>
      </c>
      <c r="N70" s="1">
        <v>228970</v>
      </c>
    </row>
    <row r="71" spans="1:14" x14ac:dyDescent="0.3">
      <c r="A71" t="s">
        <v>10</v>
      </c>
      <c r="B71" t="s">
        <v>77</v>
      </c>
      <c r="C71" s="1">
        <v>2700</v>
      </c>
      <c r="D71" s="1">
        <v>6210</v>
      </c>
      <c r="F71" t="s">
        <v>116</v>
      </c>
      <c r="G71" t="s">
        <v>77</v>
      </c>
      <c r="H71" s="1">
        <v>2800</v>
      </c>
      <c r="I71" s="1">
        <v>1039091</v>
      </c>
      <c r="K71" t="s">
        <v>117</v>
      </c>
      <c r="L71" t="s">
        <v>77</v>
      </c>
      <c r="M71" s="1">
        <v>1860</v>
      </c>
      <c r="N71" s="1">
        <v>179134</v>
      </c>
    </row>
    <row r="72" spans="1:14" x14ac:dyDescent="0.3">
      <c r="A72" t="s">
        <v>10</v>
      </c>
      <c r="B72" t="s">
        <v>78</v>
      </c>
      <c r="C72" s="1">
        <v>2700</v>
      </c>
      <c r="D72" s="1">
        <v>7007</v>
      </c>
      <c r="F72" t="s">
        <v>116</v>
      </c>
      <c r="G72" t="s">
        <v>78</v>
      </c>
      <c r="H72" s="1">
        <v>2810</v>
      </c>
      <c r="I72" s="1">
        <v>553923</v>
      </c>
      <c r="K72" t="s">
        <v>117</v>
      </c>
      <c r="L72" t="s">
        <v>78</v>
      </c>
      <c r="M72" s="1">
        <v>1868</v>
      </c>
      <c r="N72" s="1">
        <v>298189</v>
      </c>
    </row>
    <row r="73" spans="1:14" x14ac:dyDescent="0.3">
      <c r="A73" t="s">
        <v>10</v>
      </c>
      <c r="B73" t="s">
        <v>79</v>
      </c>
      <c r="C73" s="1">
        <v>2700</v>
      </c>
      <c r="D73" s="1">
        <v>2710</v>
      </c>
      <c r="F73" t="s">
        <v>116</v>
      </c>
      <c r="G73" t="s">
        <v>79</v>
      </c>
      <c r="H73" s="1">
        <v>2796</v>
      </c>
      <c r="I73" s="1">
        <v>309494</v>
      </c>
      <c r="K73" t="s">
        <v>117</v>
      </c>
      <c r="L73" t="s">
        <v>79</v>
      </c>
      <c r="M73" s="1">
        <v>1852</v>
      </c>
      <c r="N73" s="1">
        <v>133331</v>
      </c>
    </row>
    <row r="74" spans="1:14" x14ac:dyDescent="0.3">
      <c r="A74" t="s">
        <v>10</v>
      </c>
      <c r="B74" t="s">
        <v>80</v>
      </c>
      <c r="C74" s="1">
        <v>2710</v>
      </c>
      <c r="D74" s="1">
        <v>2835</v>
      </c>
      <c r="F74" t="s">
        <v>116</v>
      </c>
      <c r="G74" t="s">
        <v>80</v>
      </c>
      <c r="H74" s="1">
        <v>2772</v>
      </c>
      <c r="I74" s="1">
        <v>1486095</v>
      </c>
      <c r="K74" t="s">
        <v>117</v>
      </c>
      <c r="L74" t="s">
        <v>80</v>
      </c>
      <c r="M74" s="1">
        <v>1848</v>
      </c>
      <c r="N74" s="1">
        <v>978959</v>
      </c>
    </row>
    <row r="75" spans="1:14" x14ac:dyDescent="0.3">
      <c r="A75" t="s">
        <v>10</v>
      </c>
      <c r="B75" t="s">
        <v>81</v>
      </c>
      <c r="C75" s="1">
        <v>2840</v>
      </c>
      <c r="D75" s="1">
        <v>49480</v>
      </c>
      <c r="F75" t="s">
        <v>116</v>
      </c>
      <c r="G75" t="s">
        <v>81</v>
      </c>
      <c r="H75" s="1">
        <v>2720</v>
      </c>
      <c r="I75" s="1">
        <v>739525</v>
      </c>
      <c r="K75" t="s">
        <v>117</v>
      </c>
      <c r="L75" t="s">
        <v>81</v>
      </c>
      <c r="M75" s="1">
        <v>1820</v>
      </c>
      <c r="N75" s="1">
        <v>246787</v>
      </c>
    </row>
    <row r="76" spans="1:14" x14ac:dyDescent="0.3">
      <c r="A76" t="s">
        <v>10</v>
      </c>
      <c r="B76" t="s">
        <v>82</v>
      </c>
      <c r="C76" s="1">
        <v>2770</v>
      </c>
      <c r="D76" s="1">
        <v>3605</v>
      </c>
      <c r="F76" t="s">
        <v>116</v>
      </c>
      <c r="G76" t="s">
        <v>82</v>
      </c>
      <c r="H76" s="1">
        <v>2704</v>
      </c>
      <c r="I76" s="1">
        <v>484760</v>
      </c>
      <c r="K76" t="s">
        <v>117</v>
      </c>
      <c r="L76" t="s">
        <v>82</v>
      </c>
      <c r="M76" s="1">
        <v>1834</v>
      </c>
      <c r="N76" s="1">
        <v>272367</v>
      </c>
    </row>
    <row r="77" spans="1:14" x14ac:dyDescent="0.3">
      <c r="A77" t="s">
        <v>10</v>
      </c>
      <c r="B77" t="s">
        <v>83</v>
      </c>
      <c r="C77" s="1">
        <v>2740</v>
      </c>
      <c r="D77" s="1">
        <v>3777</v>
      </c>
      <c r="F77" t="s">
        <v>116</v>
      </c>
      <c r="G77" t="s">
        <v>83</v>
      </c>
      <c r="H77" s="1">
        <v>2680</v>
      </c>
      <c r="I77" s="1">
        <v>842244</v>
      </c>
      <c r="K77" t="s">
        <v>117</v>
      </c>
      <c r="L77" t="s">
        <v>83</v>
      </c>
      <c r="M77" s="1">
        <v>1802</v>
      </c>
      <c r="N77" s="1">
        <v>367394</v>
      </c>
    </row>
    <row r="78" spans="1:14" x14ac:dyDescent="0.3">
      <c r="A78" t="s">
        <v>10</v>
      </c>
      <c r="B78" t="s">
        <v>84</v>
      </c>
      <c r="C78" s="1">
        <v>2770</v>
      </c>
      <c r="D78" s="1">
        <v>1805</v>
      </c>
      <c r="F78" t="s">
        <v>116</v>
      </c>
      <c r="G78" t="s">
        <v>84</v>
      </c>
      <c r="H78" s="1">
        <v>2644</v>
      </c>
      <c r="I78" s="1">
        <v>578504</v>
      </c>
      <c r="K78" t="s">
        <v>117</v>
      </c>
      <c r="L78" t="s">
        <v>84</v>
      </c>
      <c r="M78" s="1">
        <v>1826</v>
      </c>
      <c r="N78" s="1">
        <v>348379</v>
      </c>
    </row>
    <row r="79" spans="1:14" x14ac:dyDescent="0.3">
      <c r="A79" t="s">
        <v>10</v>
      </c>
      <c r="B79" t="s">
        <v>85</v>
      </c>
      <c r="C79" s="1">
        <v>2730</v>
      </c>
      <c r="D79" s="1">
        <v>1607</v>
      </c>
      <c r="F79" t="s">
        <v>116</v>
      </c>
      <c r="G79" t="s">
        <v>85</v>
      </c>
      <c r="H79" s="1">
        <v>2740</v>
      </c>
      <c r="I79" s="1">
        <v>983293</v>
      </c>
      <c r="K79" t="s">
        <v>117</v>
      </c>
      <c r="L79" t="s">
        <v>85</v>
      </c>
      <c r="M79" s="1">
        <v>1814</v>
      </c>
      <c r="N79" s="1">
        <v>279220</v>
      </c>
    </row>
    <row r="80" spans="1:14" x14ac:dyDescent="0.3">
      <c r="A80" t="s">
        <v>10</v>
      </c>
      <c r="B80" t="s">
        <v>86</v>
      </c>
      <c r="C80" s="1">
        <v>2700</v>
      </c>
      <c r="D80" s="1">
        <v>1390</v>
      </c>
      <c r="F80" t="s">
        <v>116</v>
      </c>
      <c r="G80" t="s">
        <v>86</v>
      </c>
      <c r="H80" s="1">
        <v>2760</v>
      </c>
      <c r="I80" s="1">
        <v>204622</v>
      </c>
      <c r="K80" t="s">
        <v>117</v>
      </c>
      <c r="L80" t="s">
        <v>86</v>
      </c>
      <c r="M80" s="1">
        <v>1804</v>
      </c>
      <c r="N80" s="1">
        <v>319196</v>
      </c>
    </row>
    <row r="81" spans="1:14" x14ac:dyDescent="0.3">
      <c r="A81" t="s">
        <v>10</v>
      </c>
      <c r="B81" t="s">
        <v>87</v>
      </c>
      <c r="C81" s="1">
        <v>2700</v>
      </c>
      <c r="D81" s="1">
        <v>4494</v>
      </c>
      <c r="F81" t="s">
        <v>116</v>
      </c>
      <c r="G81" t="s">
        <v>87</v>
      </c>
      <c r="H81" s="1">
        <v>2698</v>
      </c>
      <c r="I81" s="1">
        <v>564002</v>
      </c>
      <c r="K81" t="s">
        <v>117</v>
      </c>
      <c r="L81" t="s">
        <v>87</v>
      </c>
      <c r="M81" s="1">
        <v>1774</v>
      </c>
      <c r="N81" s="1">
        <v>696175</v>
      </c>
    </row>
    <row r="82" spans="1:14" x14ac:dyDescent="0.3">
      <c r="A82" t="s">
        <v>10</v>
      </c>
      <c r="B82" t="s">
        <v>88</v>
      </c>
      <c r="C82" s="1">
        <v>2670</v>
      </c>
      <c r="D82" s="1">
        <v>1805</v>
      </c>
      <c r="F82" t="s">
        <v>116</v>
      </c>
      <c r="G82" t="s">
        <v>88</v>
      </c>
      <c r="H82" s="1">
        <v>2750</v>
      </c>
      <c r="I82" s="1">
        <v>513629</v>
      </c>
      <c r="K82" t="s">
        <v>117</v>
      </c>
      <c r="L82" t="s">
        <v>88</v>
      </c>
      <c r="M82" s="1">
        <v>1810</v>
      </c>
      <c r="N82" s="1">
        <v>258014</v>
      </c>
    </row>
    <row r="83" spans="1:14" x14ac:dyDescent="0.3">
      <c r="A83" t="s">
        <v>10</v>
      </c>
      <c r="B83" t="s">
        <v>89</v>
      </c>
      <c r="C83" s="1">
        <v>2670</v>
      </c>
      <c r="D83" s="1">
        <v>1244</v>
      </c>
      <c r="F83" t="s">
        <v>116</v>
      </c>
      <c r="G83" t="s">
        <v>89</v>
      </c>
      <c r="H83" s="1">
        <v>2774</v>
      </c>
      <c r="I83" s="1">
        <v>334452</v>
      </c>
      <c r="K83" t="s">
        <v>117</v>
      </c>
      <c r="L83" t="s">
        <v>89</v>
      </c>
      <c r="M83" s="1">
        <v>1820</v>
      </c>
      <c r="N83" s="1">
        <v>172425</v>
      </c>
    </row>
    <row r="84" spans="1:14" x14ac:dyDescent="0.3">
      <c r="A84" t="s">
        <v>10</v>
      </c>
      <c r="B84" t="s">
        <v>90</v>
      </c>
      <c r="C84" s="1">
        <v>2680</v>
      </c>
      <c r="D84" s="1">
        <v>1375</v>
      </c>
      <c r="F84" t="s">
        <v>116</v>
      </c>
      <c r="G84" t="s">
        <v>90</v>
      </c>
      <c r="H84" s="1">
        <v>2770</v>
      </c>
      <c r="I84" s="1">
        <v>206596</v>
      </c>
      <c r="K84" t="s">
        <v>117</v>
      </c>
      <c r="L84" t="s">
        <v>90</v>
      </c>
      <c r="M84" s="1">
        <v>1852</v>
      </c>
      <c r="N84" s="1">
        <v>150826</v>
      </c>
    </row>
    <row r="85" spans="1:14" x14ac:dyDescent="0.3">
      <c r="A85" t="s">
        <v>10</v>
      </c>
      <c r="B85" t="s">
        <v>91</v>
      </c>
      <c r="C85" s="1">
        <v>2680</v>
      </c>
      <c r="D85" s="1">
        <v>2692</v>
      </c>
      <c r="F85" t="s">
        <v>116</v>
      </c>
      <c r="G85" t="s">
        <v>91</v>
      </c>
      <c r="H85" s="1">
        <v>2754</v>
      </c>
      <c r="I85" s="1">
        <v>203076</v>
      </c>
      <c r="K85" t="s">
        <v>117</v>
      </c>
      <c r="L85" t="s">
        <v>91</v>
      </c>
      <c r="M85" s="1">
        <v>1820</v>
      </c>
      <c r="N85" s="1">
        <v>307446</v>
      </c>
    </row>
    <row r="86" spans="1:14" x14ac:dyDescent="0.3">
      <c r="A86" t="s">
        <v>10</v>
      </c>
      <c r="B86" t="s">
        <v>92</v>
      </c>
      <c r="C86" s="1">
        <v>2680</v>
      </c>
      <c r="D86" s="1">
        <v>1587</v>
      </c>
      <c r="F86" t="s">
        <v>116</v>
      </c>
      <c r="G86" t="s">
        <v>92</v>
      </c>
      <c r="H86" s="1">
        <v>2780</v>
      </c>
      <c r="I86" s="1">
        <v>357546</v>
      </c>
      <c r="K86" t="s">
        <v>117</v>
      </c>
      <c r="L86" t="s">
        <v>92</v>
      </c>
      <c r="M86" s="1">
        <v>1802</v>
      </c>
      <c r="N86" s="1">
        <v>274206</v>
      </c>
    </row>
    <row r="87" spans="1:14" x14ac:dyDescent="0.3">
      <c r="A87" t="s">
        <v>10</v>
      </c>
      <c r="B87" t="s">
        <v>93</v>
      </c>
      <c r="C87" s="1">
        <v>2700</v>
      </c>
      <c r="D87" s="1">
        <v>5011</v>
      </c>
      <c r="F87" t="s">
        <v>116</v>
      </c>
      <c r="G87" t="s">
        <v>93</v>
      </c>
      <c r="H87" s="1">
        <v>2764</v>
      </c>
      <c r="I87" s="1">
        <v>641656</v>
      </c>
      <c r="K87" t="s">
        <v>117</v>
      </c>
      <c r="L87" t="s">
        <v>93</v>
      </c>
      <c r="M87" s="1">
        <v>1800</v>
      </c>
      <c r="N87" s="1">
        <v>342116</v>
      </c>
    </row>
    <row r="88" spans="1:14" x14ac:dyDescent="0.3">
      <c r="A88" t="s">
        <v>10</v>
      </c>
      <c r="B88" t="s">
        <v>94</v>
      </c>
      <c r="C88" s="1">
        <v>2660</v>
      </c>
      <c r="D88" s="1">
        <v>3758</v>
      </c>
      <c r="F88" t="s">
        <v>116</v>
      </c>
      <c r="G88" t="s">
        <v>94</v>
      </c>
      <c r="H88" s="1">
        <v>2754</v>
      </c>
      <c r="I88" s="1">
        <v>268273</v>
      </c>
      <c r="K88" t="s">
        <v>117</v>
      </c>
      <c r="L88" t="s">
        <v>94</v>
      </c>
      <c r="M88" s="1">
        <v>1772</v>
      </c>
      <c r="N88" s="1">
        <v>563714</v>
      </c>
    </row>
    <row r="89" spans="1:14" x14ac:dyDescent="0.3">
      <c r="A89" t="s">
        <v>10</v>
      </c>
      <c r="B89" t="s">
        <v>95</v>
      </c>
      <c r="C89" s="1">
        <v>2660</v>
      </c>
      <c r="D89" s="1">
        <v>1712</v>
      </c>
      <c r="F89" t="s">
        <v>116</v>
      </c>
      <c r="G89" t="s">
        <v>95</v>
      </c>
      <c r="H89" s="1">
        <v>2770</v>
      </c>
      <c r="I89" s="1">
        <v>283288</v>
      </c>
      <c r="K89" t="s">
        <v>117</v>
      </c>
      <c r="L89" t="s">
        <v>95</v>
      </c>
      <c r="M89" s="1">
        <v>1800</v>
      </c>
      <c r="N89" s="1">
        <v>1466338</v>
      </c>
    </row>
    <row r="90" spans="1:14" x14ac:dyDescent="0.3">
      <c r="A90" t="s">
        <v>10</v>
      </c>
      <c r="B90" t="s">
        <v>96</v>
      </c>
      <c r="C90" s="1">
        <v>2660</v>
      </c>
      <c r="D90" s="1">
        <v>1757</v>
      </c>
      <c r="F90" t="s">
        <v>116</v>
      </c>
      <c r="G90" t="s">
        <v>96</v>
      </c>
      <c r="H90" s="1">
        <v>2794</v>
      </c>
      <c r="I90" s="1">
        <v>402506</v>
      </c>
      <c r="K90" t="s">
        <v>117</v>
      </c>
      <c r="L90" t="s">
        <v>96</v>
      </c>
      <c r="M90" s="1">
        <v>1794</v>
      </c>
      <c r="N90" s="1">
        <v>247061</v>
      </c>
    </row>
    <row r="91" spans="1:14" x14ac:dyDescent="0.3">
      <c r="A91" t="s">
        <v>10</v>
      </c>
      <c r="B91" t="s">
        <v>97</v>
      </c>
      <c r="C91" s="1">
        <v>2680</v>
      </c>
      <c r="D91" s="1">
        <v>3473</v>
      </c>
      <c r="F91" t="s">
        <v>116</v>
      </c>
      <c r="G91" t="s">
        <v>97</v>
      </c>
      <c r="H91" s="1">
        <v>2746</v>
      </c>
      <c r="I91" s="1">
        <v>435335</v>
      </c>
      <c r="K91" t="s">
        <v>117</v>
      </c>
      <c r="L91" t="s">
        <v>97</v>
      </c>
      <c r="M91" s="1">
        <v>1804</v>
      </c>
      <c r="N91" s="1">
        <v>223281</v>
      </c>
    </row>
    <row r="92" spans="1:14" x14ac:dyDescent="0.3">
      <c r="A92" t="s">
        <v>10</v>
      </c>
      <c r="B92" t="s">
        <v>98</v>
      </c>
      <c r="C92" s="1">
        <v>2630</v>
      </c>
      <c r="D92" s="1">
        <v>4455</v>
      </c>
      <c r="F92" t="s">
        <v>116</v>
      </c>
      <c r="G92" t="s">
        <v>98</v>
      </c>
      <c r="H92" s="1">
        <v>2750</v>
      </c>
      <c r="I92" s="1">
        <v>377641</v>
      </c>
      <c r="K92" t="s">
        <v>117</v>
      </c>
      <c r="L92" t="s">
        <v>98</v>
      </c>
      <c r="M92" s="1">
        <v>1810</v>
      </c>
      <c r="N92" s="1">
        <v>354822</v>
      </c>
    </row>
    <row r="93" spans="1:14" x14ac:dyDescent="0.3">
      <c r="A93" t="s">
        <v>10</v>
      </c>
      <c r="B93" t="s">
        <v>99</v>
      </c>
      <c r="C93" s="1">
        <v>2620</v>
      </c>
      <c r="D93" s="1">
        <v>10507</v>
      </c>
      <c r="F93" t="s">
        <v>116</v>
      </c>
      <c r="G93" t="s">
        <v>99</v>
      </c>
      <c r="H93" s="1">
        <v>2758</v>
      </c>
      <c r="I93" s="1">
        <v>230161</v>
      </c>
      <c r="K93" t="s">
        <v>117</v>
      </c>
      <c r="L93" t="s">
        <v>99</v>
      </c>
      <c r="M93" s="1">
        <v>1800</v>
      </c>
      <c r="N93" s="1">
        <v>132161</v>
      </c>
    </row>
    <row r="94" spans="1:14" x14ac:dyDescent="0.3">
      <c r="A94" t="s">
        <v>10</v>
      </c>
      <c r="B94" t="s">
        <v>100</v>
      </c>
      <c r="C94" s="1">
        <v>2640</v>
      </c>
      <c r="D94" s="1">
        <v>7167</v>
      </c>
      <c r="F94" t="s">
        <v>116</v>
      </c>
      <c r="G94" t="s">
        <v>100</v>
      </c>
      <c r="H94" s="1">
        <v>2744</v>
      </c>
      <c r="I94" s="1">
        <v>483357</v>
      </c>
      <c r="K94" t="s">
        <v>117</v>
      </c>
      <c r="L94" t="s">
        <v>100</v>
      </c>
      <c r="M94" s="1">
        <v>1786</v>
      </c>
      <c r="N94" s="1">
        <v>238504</v>
      </c>
    </row>
    <row r="95" spans="1:14" x14ac:dyDescent="0.3">
      <c r="A95" t="s">
        <v>10</v>
      </c>
      <c r="B95" t="s">
        <v>101</v>
      </c>
      <c r="C95" s="1">
        <v>2650</v>
      </c>
      <c r="D95" s="1">
        <v>5458</v>
      </c>
      <c r="F95" t="s">
        <v>116</v>
      </c>
      <c r="G95" t="s">
        <v>101</v>
      </c>
      <c r="H95" s="1">
        <v>2770</v>
      </c>
      <c r="I95" s="1">
        <v>288638</v>
      </c>
      <c r="K95" t="s">
        <v>117</v>
      </c>
      <c r="L95" t="s">
        <v>101</v>
      </c>
      <c r="M95" s="1">
        <v>1772</v>
      </c>
      <c r="N95" s="1">
        <v>344877</v>
      </c>
    </row>
    <row r="96" spans="1:14" x14ac:dyDescent="0.3">
      <c r="A96" t="s">
        <v>10</v>
      </c>
      <c r="B96" t="s">
        <v>102</v>
      </c>
      <c r="C96" s="1">
        <v>2700</v>
      </c>
      <c r="D96" s="1">
        <v>14746</v>
      </c>
      <c r="F96" t="s">
        <v>116</v>
      </c>
      <c r="G96" t="s">
        <v>102</v>
      </c>
      <c r="H96" s="1">
        <v>2738</v>
      </c>
      <c r="I96" s="1">
        <v>494772</v>
      </c>
      <c r="K96" t="s">
        <v>117</v>
      </c>
      <c r="L96" t="s">
        <v>102</v>
      </c>
      <c r="M96" s="1">
        <v>1760</v>
      </c>
      <c r="N96" s="1">
        <v>425759</v>
      </c>
    </row>
    <row r="97" spans="1:14" x14ac:dyDescent="0.3">
      <c r="A97" t="s">
        <v>10</v>
      </c>
      <c r="B97" t="s">
        <v>103</v>
      </c>
      <c r="C97" s="1">
        <v>2660</v>
      </c>
      <c r="D97" s="1">
        <v>7809</v>
      </c>
      <c r="F97" t="s">
        <v>116</v>
      </c>
      <c r="G97" t="s">
        <v>103</v>
      </c>
      <c r="H97" s="1">
        <v>2756</v>
      </c>
      <c r="I97" s="1">
        <v>360199</v>
      </c>
      <c r="K97" t="s">
        <v>117</v>
      </c>
      <c r="L97" t="s">
        <v>103</v>
      </c>
      <c r="M97" s="1">
        <v>1796</v>
      </c>
      <c r="N97" s="1">
        <v>217228</v>
      </c>
    </row>
    <row r="98" spans="1:14" x14ac:dyDescent="0.3">
      <c r="A98" t="s">
        <v>10</v>
      </c>
      <c r="B98" t="s">
        <v>104</v>
      </c>
      <c r="C98" s="1">
        <v>2650</v>
      </c>
      <c r="D98" s="1">
        <v>3207</v>
      </c>
      <c r="F98" t="s">
        <v>116</v>
      </c>
      <c r="G98" t="s">
        <v>104</v>
      </c>
      <c r="H98" s="1">
        <v>2816</v>
      </c>
      <c r="I98" s="1">
        <v>731916</v>
      </c>
      <c r="K98" t="s">
        <v>117</v>
      </c>
      <c r="L98" t="s">
        <v>104</v>
      </c>
      <c r="M98" s="1">
        <v>1780</v>
      </c>
      <c r="N98" s="1">
        <v>277452</v>
      </c>
    </row>
    <row r="99" spans="1:14" x14ac:dyDescent="0.3">
      <c r="A99" t="s">
        <v>10</v>
      </c>
      <c r="B99" t="s">
        <v>105</v>
      </c>
      <c r="C99" s="1">
        <v>2650</v>
      </c>
      <c r="D99" s="1">
        <v>743</v>
      </c>
      <c r="F99" t="s">
        <v>116</v>
      </c>
      <c r="G99" t="s">
        <v>105</v>
      </c>
      <c r="H99" s="1">
        <v>2938</v>
      </c>
      <c r="I99" s="1">
        <v>1080090</v>
      </c>
      <c r="K99" t="s">
        <v>117</v>
      </c>
      <c r="L99" t="s">
        <v>105</v>
      </c>
      <c r="M99" s="1">
        <v>1802</v>
      </c>
      <c r="N99" s="1">
        <v>261839</v>
      </c>
    </row>
    <row r="100" spans="1:14" x14ac:dyDescent="0.3">
      <c r="A100" t="s">
        <v>10</v>
      </c>
      <c r="B100" t="s">
        <v>106</v>
      </c>
      <c r="C100" s="1">
        <v>2700</v>
      </c>
      <c r="D100" s="1">
        <v>8167</v>
      </c>
      <c r="F100" t="s">
        <v>116</v>
      </c>
      <c r="G100" t="s">
        <v>106</v>
      </c>
      <c r="H100" s="1">
        <v>3014</v>
      </c>
      <c r="I100" s="1">
        <v>1280313</v>
      </c>
      <c r="K100" t="s">
        <v>117</v>
      </c>
      <c r="L100" t="s">
        <v>106</v>
      </c>
      <c r="M100" s="1">
        <v>1800</v>
      </c>
      <c r="N100" s="1">
        <v>274432</v>
      </c>
    </row>
    <row r="101" spans="1:14" x14ac:dyDescent="0.3">
      <c r="A101" t="s">
        <v>10</v>
      </c>
      <c r="B101" t="s">
        <v>107</v>
      </c>
      <c r="C101" s="1">
        <v>2730</v>
      </c>
      <c r="D101" s="1">
        <v>26269</v>
      </c>
      <c r="F101" t="s">
        <v>116</v>
      </c>
      <c r="G101" t="s">
        <v>107</v>
      </c>
      <c r="H101" s="1">
        <v>2996</v>
      </c>
      <c r="I101" s="1">
        <v>782225</v>
      </c>
      <c r="K101" t="s">
        <v>117</v>
      </c>
      <c r="L101" t="s">
        <v>107</v>
      </c>
      <c r="M101" s="1">
        <v>1780</v>
      </c>
      <c r="N101" s="1">
        <v>305703</v>
      </c>
    </row>
    <row r="102" spans="1:14" x14ac:dyDescent="0.3">
      <c r="A102" t="s">
        <v>10</v>
      </c>
      <c r="B102" t="s">
        <v>108</v>
      </c>
      <c r="C102" s="1">
        <v>2800</v>
      </c>
      <c r="D102" s="1">
        <v>6132</v>
      </c>
      <c r="F102" t="s">
        <v>116</v>
      </c>
      <c r="G102" t="s">
        <v>108</v>
      </c>
      <c r="H102" s="1">
        <v>2960</v>
      </c>
      <c r="I102" s="1">
        <v>741014</v>
      </c>
      <c r="K102" t="s">
        <v>117</v>
      </c>
      <c r="L102" t="s">
        <v>108</v>
      </c>
      <c r="M102" s="1">
        <v>1764</v>
      </c>
      <c r="N102" s="1">
        <v>433952</v>
      </c>
    </row>
    <row r="103" spans="1:14" x14ac:dyDescent="0.3">
      <c r="A103" t="s">
        <v>10</v>
      </c>
      <c r="B103" t="s">
        <v>109</v>
      </c>
      <c r="C103" s="1">
        <v>2730</v>
      </c>
      <c r="D103" s="1">
        <v>7068</v>
      </c>
      <c r="F103" t="s">
        <v>116</v>
      </c>
      <c r="G103" t="s">
        <v>109</v>
      </c>
      <c r="H103" s="1">
        <v>2914</v>
      </c>
      <c r="I103" s="1">
        <v>432730</v>
      </c>
      <c r="K103" t="s">
        <v>117</v>
      </c>
      <c r="L103" t="s">
        <v>109</v>
      </c>
      <c r="M103" s="1">
        <v>1760</v>
      </c>
      <c r="N103" s="1">
        <v>288281</v>
      </c>
    </row>
    <row r="104" spans="1:14" x14ac:dyDescent="0.3">
      <c r="A104" t="s">
        <v>10</v>
      </c>
      <c r="B104" t="s">
        <v>110</v>
      </c>
      <c r="C104" s="1">
        <v>2720</v>
      </c>
      <c r="D104" s="1">
        <v>2750</v>
      </c>
      <c r="F104" t="s">
        <v>116</v>
      </c>
      <c r="G104" t="s">
        <v>110</v>
      </c>
      <c r="H104" s="1">
        <v>2920</v>
      </c>
      <c r="I104" s="1">
        <v>558858</v>
      </c>
      <c r="K104" t="s">
        <v>117</v>
      </c>
      <c r="L104" t="s">
        <v>110</v>
      </c>
      <c r="M104" s="1">
        <v>1760</v>
      </c>
      <c r="N104" s="1">
        <v>373157</v>
      </c>
    </row>
    <row r="105" spans="1:14" x14ac:dyDescent="0.3">
      <c r="A105" t="s">
        <v>10</v>
      </c>
      <c r="B105" t="s">
        <v>111</v>
      </c>
      <c r="C105" s="1">
        <v>2740</v>
      </c>
      <c r="D105" s="1">
        <v>1125</v>
      </c>
      <c r="F105" t="s">
        <v>116</v>
      </c>
      <c r="G105" t="s">
        <v>111</v>
      </c>
      <c r="H105" s="1">
        <v>2890</v>
      </c>
      <c r="I105" s="1">
        <v>442325</v>
      </c>
      <c r="K105" t="s">
        <v>117</v>
      </c>
      <c r="L105" t="s">
        <v>111</v>
      </c>
      <c r="M105" s="1">
        <v>1762</v>
      </c>
      <c r="N105" s="1">
        <v>233592</v>
      </c>
    </row>
    <row r="106" spans="1:14" x14ac:dyDescent="0.3">
      <c r="A106" t="s">
        <v>10</v>
      </c>
      <c r="B106" t="s">
        <v>112</v>
      </c>
      <c r="C106" s="1">
        <v>2700</v>
      </c>
      <c r="D106" s="1">
        <v>12221</v>
      </c>
      <c r="F106" t="s">
        <v>116</v>
      </c>
      <c r="G106" t="s">
        <v>112</v>
      </c>
      <c r="H106" s="1">
        <v>2904</v>
      </c>
      <c r="I106" s="1">
        <v>426844</v>
      </c>
      <c r="K106" t="s">
        <v>117</v>
      </c>
      <c r="L106" t="s">
        <v>112</v>
      </c>
      <c r="M106" s="1">
        <v>1790</v>
      </c>
      <c r="N106" s="1">
        <v>210701</v>
      </c>
    </row>
    <row r="107" spans="1:14" x14ac:dyDescent="0.3">
      <c r="A107" t="s">
        <v>10</v>
      </c>
      <c r="B107" t="s">
        <v>113</v>
      </c>
      <c r="C107" s="1">
        <v>2750</v>
      </c>
      <c r="D107" s="1">
        <v>12533</v>
      </c>
      <c r="F107" t="s">
        <v>116</v>
      </c>
      <c r="G107" t="s">
        <v>113</v>
      </c>
      <c r="H107" s="1">
        <v>2920</v>
      </c>
      <c r="I107" s="1">
        <v>291726</v>
      </c>
      <c r="K107" t="s">
        <v>117</v>
      </c>
      <c r="L107" t="s">
        <v>113</v>
      </c>
      <c r="M107" s="1">
        <v>1780</v>
      </c>
      <c r="N107" s="1">
        <v>366606</v>
      </c>
    </row>
    <row r="108" spans="1:14" x14ac:dyDescent="0.3">
      <c r="A108" t="s">
        <v>10</v>
      </c>
      <c r="B108" t="s">
        <v>114</v>
      </c>
      <c r="C108" s="1">
        <v>2750</v>
      </c>
      <c r="D108" s="1">
        <v>3225</v>
      </c>
      <c r="F108" t="s">
        <v>116</v>
      </c>
      <c r="G108" t="s">
        <v>114</v>
      </c>
      <c r="H108" s="1">
        <v>2970</v>
      </c>
      <c r="I108" s="1">
        <v>632590</v>
      </c>
      <c r="K108" t="s">
        <v>117</v>
      </c>
      <c r="L108" t="s">
        <v>114</v>
      </c>
      <c r="M108" s="1">
        <v>1784</v>
      </c>
      <c r="N108" s="1">
        <v>537274</v>
      </c>
    </row>
    <row r="109" spans="1:14" x14ac:dyDescent="0.3">
      <c r="A109" t="s">
        <v>10</v>
      </c>
      <c r="B109" t="s">
        <v>115</v>
      </c>
      <c r="C109" s="1">
        <v>2710</v>
      </c>
      <c r="D109" s="1">
        <v>6276</v>
      </c>
      <c r="F109" t="s">
        <v>116</v>
      </c>
      <c r="G109" t="s">
        <v>115</v>
      </c>
      <c r="H109" s="1">
        <v>3020</v>
      </c>
      <c r="I109" s="1">
        <v>1278291</v>
      </c>
      <c r="K109" t="s">
        <v>117</v>
      </c>
      <c r="L109" t="s">
        <v>115</v>
      </c>
      <c r="M109" s="1">
        <v>1782</v>
      </c>
      <c r="N109" s="1">
        <v>194326</v>
      </c>
    </row>
    <row r="110" spans="1:14" x14ac:dyDescent="0.3">
      <c r="A110" t="s">
        <v>10</v>
      </c>
      <c r="B110" t="s">
        <v>5</v>
      </c>
      <c r="C110" s="1">
        <v>2710</v>
      </c>
      <c r="D110" s="1">
        <v>2419</v>
      </c>
      <c r="F110" t="s">
        <v>116</v>
      </c>
      <c r="G110" t="s">
        <v>5</v>
      </c>
      <c r="H110" s="1">
        <v>3084</v>
      </c>
      <c r="I110" s="1">
        <v>1836155</v>
      </c>
      <c r="K110" t="s">
        <v>117</v>
      </c>
      <c r="L110" t="s">
        <v>5</v>
      </c>
      <c r="M110" s="1">
        <v>1800</v>
      </c>
      <c r="N110" s="1">
        <v>412054</v>
      </c>
    </row>
    <row r="111" spans="1:14" x14ac:dyDescent="0.3">
      <c r="C111" s="1"/>
      <c r="D111" s="1"/>
    </row>
    <row r="112" spans="1:14" x14ac:dyDescent="0.3">
      <c r="C112" s="1"/>
      <c r="D112" s="1"/>
    </row>
    <row r="113" spans="3:4" x14ac:dyDescent="0.3">
      <c r="C113" s="1"/>
      <c r="D113" s="1"/>
    </row>
    <row r="114" spans="3:4" x14ac:dyDescent="0.3">
      <c r="C114" s="1"/>
      <c r="D114" s="1"/>
    </row>
    <row r="115" spans="3:4" x14ac:dyDescent="0.3">
      <c r="C115" s="1"/>
      <c r="D115" s="1"/>
    </row>
    <row r="116" spans="3:4" x14ac:dyDescent="0.3">
      <c r="C116" s="1"/>
      <c r="D116" s="1"/>
    </row>
    <row r="117" spans="3:4" x14ac:dyDescent="0.3">
      <c r="C117" s="1"/>
      <c r="D117" s="1"/>
    </row>
    <row r="118" spans="3:4" x14ac:dyDescent="0.3">
      <c r="C118" s="1"/>
      <c r="D118" s="1"/>
    </row>
    <row r="119" spans="3:4" x14ac:dyDescent="0.3">
      <c r="C119" s="1"/>
      <c r="D119" s="1"/>
    </row>
    <row r="120" spans="3:4" x14ac:dyDescent="0.3">
      <c r="C120" s="1"/>
      <c r="D120" s="1"/>
    </row>
    <row r="121" spans="3:4" x14ac:dyDescent="0.3">
      <c r="C121" s="1"/>
      <c r="D121" s="1"/>
    </row>
    <row r="122" spans="3:4" x14ac:dyDescent="0.3">
      <c r="C122" s="1"/>
      <c r="D122" s="1"/>
    </row>
    <row r="123" spans="3:4" x14ac:dyDescent="0.3">
      <c r="C123" s="1"/>
      <c r="D123" s="1"/>
    </row>
    <row r="124" spans="3:4" x14ac:dyDescent="0.3">
      <c r="C124" s="1"/>
      <c r="D124" s="1"/>
    </row>
    <row r="125" spans="3:4" x14ac:dyDescent="0.3">
      <c r="C125" s="1"/>
      <c r="D125" s="1"/>
    </row>
    <row r="126" spans="3:4" x14ac:dyDescent="0.3">
      <c r="C126" s="1"/>
      <c r="D126" s="1"/>
    </row>
    <row r="127" spans="3:4" x14ac:dyDescent="0.3">
      <c r="C127" s="1"/>
      <c r="D127" s="1"/>
    </row>
    <row r="128" spans="3:4" x14ac:dyDescent="0.3">
      <c r="C128" s="1"/>
      <c r="D128" s="1"/>
    </row>
    <row r="129" spans="3:4" x14ac:dyDescent="0.3">
      <c r="C129" s="1"/>
      <c r="D129" s="1"/>
    </row>
    <row r="130" spans="3:4" x14ac:dyDescent="0.3">
      <c r="C130" s="1"/>
      <c r="D130" s="1"/>
    </row>
    <row r="131" spans="3:4" x14ac:dyDescent="0.3">
      <c r="C131" s="1"/>
      <c r="D131" s="1"/>
    </row>
    <row r="132" spans="3:4" x14ac:dyDescent="0.3">
      <c r="C132" s="1"/>
      <c r="D132" s="1"/>
    </row>
    <row r="133" spans="3:4" x14ac:dyDescent="0.3">
      <c r="C133" s="1"/>
      <c r="D133" s="1"/>
    </row>
    <row r="134" spans="3:4" x14ac:dyDescent="0.3">
      <c r="C134" s="1"/>
      <c r="D134" s="1"/>
    </row>
    <row r="135" spans="3:4" x14ac:dyDescent="0.3">
      <c r="C135" s="1"/>
      <c r="D135" s="1"/>
    </row>
    <row r="136" spans="3:4" x14ac:dyDescent="0.3">
      <c r="C136" s="1"/>
      <c r="D136" s="1"/>
    </row>
    <row r="137" spans="3:4" x14ac:dyDescent="0.3">
      <c r="C137" s="1"/>
      <c r="D137" s="1"/>
    </row>
    <row r="138" spans="3:4" x14ac:dyDescent="0.3">
      <c r="C138" s="1"/>
      <c r="D138" s="1"/>
    </row>
    <row r="139" spans="3:4" x14ac:dyDescent="0.3">
      <c r="C139" s="1"/>
      <c r="D139" s="1"/>
    </row>
    <row r="140" spans="3:4" x14ac:dyDescent="0.3">
      <c r="C140" s="1"/>
      <c r="D140" s="1"/>
    </row>
    <row r="141" spans="3:4" x14ac:dyDescent="0.3">
      <c r="C141" s="1"/>
      <c r="D141" s="1"/>
    </row>
    <row r="142" spans="3:4" x14ac:dyDescent="0.3">
      <c r="C142" s="1"/>
      <c r="D142" s="1"/>
    </row>
    <row r="143" spans="3:4" x14ac:dyDescent="0.3">
      <c r="C143" s="1"/>
      <c r="D143" s="1"/>
    </row>
    <row r="144" spans="3:4" x14ac:dyDescent="0.3">
      <c r="C144" s="1"/>
      <c r="D144" s="1"/>
    </row>
    <row r="145" spans="3:4" x14ac:dyDescent="0.3">
      <c r="C145" s="1"/>
      <c r="D145" s="1"/>
    </row>
    <row r="146" spans="3:4" x14ac:dyDescent="0.3">
      <c r="C146" s="1"/>
      <c r="D146" s="1"/>
    </row>
    <row r="147" spans="3:4" x14ac:dyDescent="0.3">
      <c r="C147" s="1"/>
      <c r="D147" s="1"/>
    </row>
    <row r="148" spans="3:4" x14ac:dyDescent="0.3">
      <c r="C148" s="1"/>
      <c r="D148" s="1"/>
    </row>
    <row r="149" spans="3:4" x14ac:dyDescent="0.3">
      <c r="C149" s="1"/>
      <c r="D149" s="1"/>
    </row>
    <row r="150" spans="3:4" x14ac:dyDescent="0.3">
      <c r="C150" s="1"/>
      <c r="D150" s="1"/>
    </row>
    <row r="151" spans="3:4" x14ac:dyDescent="0.3">
      <c r="C151" s="1"/>
      <c r="D151" s="1"/>
    </row>
    <row r="152" spans="3:4" x14ac:dyDescent="0.3">
      <c r="C152" s="1"/>
      <c r="D152" s="1"/>
    </row>
    <row r="153" spans="3:4" x14ac:dyDescent="0.3">
      <c r="C153" s="1"/>
      <c r="D153" s="1"/>
    </row>
    <row r="154" spans="3:4" x14ac:dyDescent="0.3">
      <c r="C154" s="1"/>
      <c r="D154" s="1"/>
    </row>
    <row r="155" spans="3:4" x14ac:dyDescent="0.3">
      <c r="C155" s="1"/>
      <c r="D155" s="1"/>
    </row>
    <row r="156" spans="3:4" x14ac:dyDescent="0.3">
      <c r="C156" s="1"/>
      <c r="D156" s="1"/>
    </row>
    <row r="157" spans="3:4" x14ac:dyDescent="0.3">
      <c r="C157" s="1"/>
      <c r="D157" s="1"/>
    </row>
    <row r="158" spans="3:4" x14ac:dyDescent="0.3">
      <c r="C158" s="1"/>
      <c r="D158" s="1"/>
    </row>
    <row r="159" spans="3:4" x14ac:dyDescent="0.3">
      <c r="C159" s="1"/>
      <c r="D159" s="1"/>
    </row>
    <row r="160" spans="3:4" x14ac:dyDescent="0.3">
      <c r="C160" s="1"/>
      <c r="D160" s="1"/>
    </row>
    <row r="161" spans="3:4" x14ac:dyDescent="0.3">
      <c r="C161" s="1"/>
      <c r="D161" s="1"/>
    </row>
    <row r="162" spans="3:4" x14ac:dyDescent="0.3">
      <c r="C162" s="1"/>
      <c r="D162" s="1"/>
    </row>
    <row r="163" spans="3:4" x14ac:dyDescent="0.3">
      <c r="C163" s="1"/>
      <c r="D163" s="1"/>
    </row>
    <row r="164" spans="3:4" x14ac:dyDescent="0.3">
      <c r="C164" s="1"/>
      <c r="D164" s="1"/>
    </row>
    <row r="165" spans="3:4" x14ac:dyDescent="0.3">
      <c r="C165" s="1"/>
      <c r="D165" s="1"/>
    </row>
    <row r="166" spans="3:4" x14ac:dyDescent="0.3">
      <c r="C166" s="1"/>
      <c r="D166" s="1"/>
    </row>
    <row r="167" spans="3:4" x14ac:dyDescent="0.3">
      <c r="C167" s="1"/>
      <c r="D167" s="1"/>
    </row>
    <row r="168" spans="3:4" x14ac:dyDescent="0.3">
      <c r="C168" s="1"/>
      <c r="D168" s="1"/>
    </row>
    <row r="169" spans="3:4" x14ac:dyDescent="0.3">
      <c r="C169" s="1"/>
      <c r="D169" s="1"/>
    </row>
    <row r="170" spans="3:4" x14ac:dyDescent="0.3">
      <c r="C170" s="1"/>
      <c r="D170" s="1"/>
    </row>
    <row r="171" spans="3:4" x14ac:dyDescent="0.3">
      <c r="C171" s="1"/>
      <c r="D171" s="1"/>
    </row>
    <row r="172" spans="3:4" x14ac:dyDescent="0.3">
      <c r="C172" s="1"/>
      <c r="D172" s="1"/>
    </row>
    <row r="173" spans="3:4" x14ac:dyDescent="0.3">
      <c r="C173" s="1"/>
      <c r="D173" s="1"/>
    </row>
    <row r="174" spans="3:4" x14ac:dyDescent="0.3">
      <c r="C174" s="1"/>
      <c r="D174" s="1"/>
    </row>
    <row r="175" spans="3:4" x14ac:dyDescent="0.3">
      <c r="C175" s="1"/>
      <c r="D175" s="1"/>
    </row>
    <row r="176" spans="3:4" x14ac:dyDescent="0.3">
      <c r="C176" s="1"/>
      <c r="D176" s="1"/>
    </row>
    <row r="177" spans="3:4" x14ac:dyDescent="0.3">
      <c r="C177" s="1"/>
      <c r="D177" s="1"/>
    </row>
    <row r="178" spans="3:4" x14ac:dyDescent="0.3">
      <c r="C178" s="1"/>
      <c r="D178" s="1"/>
    </row>
    <row r="179" spans="3:4" x14ac:dyDescent="0.3">
      <c r="C179" s="1"/>
      <c r="D179" s="1"/>
    </row>
    <row r="180" spans="3:4" x14ac:dyDescent="0.3">
      <c r="C180" s="1"/>
      <c r="D180" s="1"/>
    </row>
    <row r="181" spans="3:4" x14ac:dyDescent="0.3">
      <c r="C181" s="1"/>
      <c r="D181" s="1"/>
    </row>
    <row r="182" spans="3:4" x14ac:dyDescent="0.3">
      <c r="C182" s="1"/>
      <c r="D182" s="1"/>
    </row>
    <row r="183" spans="3:4" x14ac:dyDescent="0.3">
      <c r="C183" s="1"/>
      <c r="D183" s="1"/>
    </row>
    <row r="184" spans="3:4" x14ac:dyDescent="0.3">
      <c r="C184" s="1"/>
      <c r="D184" s="1"/>
    </row>
    <row r="185" spans="3:4" x14ac:dyDescent="0.3">
      <c r="C185" s="1"/>
      <c r="D185" s="1"/>
    </row>
    <row r="186" spans="3:4" x14ac:dyDescent="0.3">
      <c r="C186" s="1"/>
      <c r="D186" s="1"/>
    </row>
    <row r="187" spans="3:4" x14ac:dyDescent="0.3">
      <c r="C187" s="1"/>
      <c r="D187" s="1"/>
    </row>
    <row r="188" spans="3:4" x14ac:dyDescent="0.3">
      <c r="C188" s="1"/>
      <c r="D188" s="1"/>
    </row>
    <row r="189" spans="3:4" x14ac:dyDescent="0.3">
      <c r="C189" s="1"/>
      <c r="D189" s="1"/>
    </row>
    <row r="190" spans="3:4" x14ac:dyDescent="0.3">
      <c r="C190" s="1"/>
      <c r="D190" s="1"/>
    </row>
    <row r="191" spans="3:4" x14ac:dyDescent="0.3">
      <c r="C191" s="1"/>
      <c r="D191" s="1"/>
    </row>
    <row r="192" spans="3:4" x14ac:dyDescent="0.3">
      <c r="C192" s="1"/>
      <c r="D192" s="1"/>
    </row>
    <row r="193" spans="3:4" x14ac:dyDescent="0.3">
      <c r="C193" s="1"/>
      <c r="D193" s="1"/>
    </row>
    <row r="194" spans="3:4" x14ac:dyDescent="0.3">
      <c r="C194" s="1"/>
      <c r="D194" s="1"/>
    </row>
    <row r="195" spans="3:4" x14ac:dyDescent="0.3">
      <c r="C195" s="1"/>
      <c r="D195" s="1"/>
    </row>
    <row r="196" spans="3:4" x14ac:dyDescent="0.3">
      <c r="C196" s="1"/>
      <c r="D196" s="1"/>
    </row>
    <row r="197" spans="3:4" x14ac:dyDescent="0.3">
      <c r="C197" s="1"/>
      <c r="D197" s="1"/>
    </row>
    <row r="198" spans="3:4" x14ac:dyDescent="0.3">
      <c r="C198" s="1"/>
      <c r="D198" s="1"/>
    </row>
    <row r="199" spans="3:4" x14ac:dyDescent="0.3">
      <c r="C199" s="1"/>
      <c r="D199" s="1"/>
    </row>
    <row r="200" spans="3:4" x14ac:dyDescent="0.3">
      <c r="C200" s="1"/>
      <c r="D200" s="1"/>
    </row>
    <row r="201" spans="3:4" x14ac:dyDescent="0.3">
      <c r="C201" s="1"/>
      <c r="D201" s="1"/>
    </row>
    <row r="202" spans="3:4" x14ac:dyDescent="0.3">
      <c r="C202" s="1"/>
      <c r="D202" s="1"/>
    </row>
    <row r="203" spans="3:4" x14ac:dyDescent="0.3">
      <c r="C203" s="1"/>
      <c r="D203" s="1"/>
    </row>
    <row r="204" spans="3:4" x14ac:dyDescent="0.3">
      <c r="C204" s="1"/>
      <c r="D204" s="1"/>
    </row>
    <row r="205" spans="3:4" x14ac:dyDescent="0.3">
      <c r="C205" s="1"/>
      <c r="D205" s="1"/>
    </row>
    <row r="206" spans="3:4" x14ac:dyDescent="0.3">
      <c r="C206" s="1"/>
      <c r="D206" s="1"/>
    </row>
    <row r="207" spans="3:4" x14ac:dyDescent="0.3">
      <c r="C207" s="1"/>
      <c r="D207" s="1"/>
    </row>
    <row r="208" spans="3:4" x14ac:dyDescent="0.3">
      <c r="C208" s="1"/>
      <c r="D208" s="1"/>
    </row>
    <row r="209" spans="3:4" x14ac:dyDescent="0.3">
      <c r="C209" s="1"/>
      <c r="D209" s="1"/>
    </row>
    <row r="210" spans="3:4" x14ac:dyDescent="0.3">
      <c r="C210" s="1"/>
      <c r="D210" s="1"/>
    </row>
    <row r="211" spans="3:4" x14ac:dyDescent="0.3">
      <c r="C211" s="1"/>
      <c r="D211" s="1"/>
    </row>
    <row r="212" spans="3:4" x14ac:dyDescent="0.3">
      <c r="C212" s="1"/>
      <c r="D212" s="1"/>
    </row>
    <row r="213" spans="3:4" x14ac:dyDescent="0.3">
      <c r="C213" s="1"/>
      <c r="D213" s="1"/>
    </row>
    <row r="214" spans="3:4" x14ac:dyDescent="0.3">
      <c r="C214" s="1"/>
      <c r="D214" s="1"/>
    </row>
    <row r="215" spans="3:4" x14ac:dyDescent="0.3">
      <c r="C215" s="1"/>
      <c r="D215" s="1"/>
    </row>
    <row r="216" spans="3:4" x14ac:dyDescent="0.3">
      <c r="C216" s="1"/>
      <c r="D216" s="1"/>
    </row>
    <row r="217" spans="3:4" x14ac:dyDescent="0.3">
      <c r="C217" s="1"/>
      <c r="D217" s="1"/>
    </row>
  </sheetData>
  <mergeCells count="3">
    <mergeCell ref="A1:D1"/>
    <mergeCell ref="F1:I1"/>
    <mergeCell ref="K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9E419-0D04-452B-87B9-6594CE1F3FA8}">
  <sheetPr>
    <tabColor rgb="FF00FF00"/>
  </sheetPr>
  <dimension ref="A1:BC111"/>
  <sheetViews>
    <sheetView tabSelected="1" topLeftCell="AF25" zoomScale="70" zoomScaleNormal="70" workbookViewId="0">
      <selection activeCell="AP39" sqref="AP39"/>
    </sheetView>
  </sheetViews>
  <sheetFormatPr defaultRowHeight="14.4" x14ac:dyDescent="0.3"/>
  <cols>
    <col min="8" max="8" width="14.77734375" customWidth="1"/>
    <col min="9" max="9" width="9" customWidth="1"/>
    <col min="10" max="10" width="14.33203125" customWidth="1"/>
    <col min="15" max="15" width="20.5546875" customWidth="1"/>
    <col min="16" max="16" width="11.21875" customWidth="1"/>
    <col min="17" max="17" width="10.21875" customWidth="1"/>
    <col min="18" max="18" width="10.33203125" customWidth="1"/>
    <col min="19" max="19" width="14.21875" customWidth="1"/>
    <col min="21" max="21" width="19.109375" customWidth="1"/>
    <col min="25" max="25" width="13.44140625" customWidth="1"/>
    <col min="26" max="26" width="12.88671875" customWidth="1"/>
    <col min="28" max="28" width="11.109375" customWidth="1"/>
    <col min="33" max="33" width="9.77734375" bestFit="1" customWidth="1"/>
    <col min="34" max="34" width="13.109375" customWidth="1"/>
    <col min="35" max="35" width="11.5546875" customWidth="1"/>
    <col min="36" max="36" width="12.109375" customWidth="1"/>
    <col min="37" max="37" width="17.44140625" customWidth="1"/>
    <col min="41" max="41" width="10.44140625" bestFit="1" customWidth="1"/>
    <col min="55" max="55" width="12.6640625" style="66" customWidth="1"/>
  </cols>
  <sheetData>
    <row r="1" spans="1:55" x14ac:dyDescent="0.3">
      <c r="A1" s="12" t="s">
        <v>118</v>
      </c>
      <c r="B1" s="12" t="s">
        <v>119</v>
      </c>
      <c r="C1" s="12" t="s">
        <v>120</v>
      </c>
      <c r="E1" s="14" t="s">
        <v>121</v>
      </c>
      <c r="F1" s="14" t="s">
        <v>122</v>
      </c>
      <c r="G1" s="14" t="s">
        <v>123</v>
      </c>
      <c r="H1" s="14" t="s">
        <v>125</v>
      </c>
      <c r="J1" s="16" t="s">
        <v>126</v>
      </c>
      <c r="K1" s="16" t="s">
        <v>127</v>
      </c>
      <c r="L1" s="16" t="s">
        <v>128</v>
      </c>
      <c r="M1" s="16" t="s">
        <v>129</v>
      </c>
      <c r="N1" s="65" t="s">
        <v>158</v>
      </c>
      <c r="O1" s="21" t="s">
        <v>124</v>
      </c>
      <c r="P1" s="21">
        <v>0.5</v>
      </c>
      <c r="Q1" s="21">
        <v>0.2</v>
      </c>
      <c r="R1" s="21">
        <v>0.3</v>
      </c>
      <c r="BC1" s="65" t="s">
        <v>158</v>
      </c>
    </row>
    <row r="2" spans="1:55" x14ac:dyDescent="0.3">
      <c r="A2" s="13">
        <v>2330</v>
      </c>
      <c r="B2" s="13">
        <v>2902</v>
      </c>
      <c r="C2" s="13">
        <v>1768</v>
      </c>
      <c r="E2" s="15"/>
      <c r="F2" s="15"/>
      <c r="G2" s="15"/>
      <c r="H2" s="15"/>
      <c r="J2" s="17">
        <v>100</v>
      </c>
      <c r="K2" s="17">
        <v>100</v>
      </c>
      <c r="L2" s="17">
        <v>100</v>
      </c>
      <c r="M2" s="17">
        <v>100</v>
      </c>
      <c r="BC2" s="65" t="s">
        <v>3</v>
      </c>
    </row>
    <row r="3" spans="1:55" ht="18" x14ac:dyDescent="0.35">
      <c r="A3" s="13">
        <v>2420</v>
      </c>
      <c r="B3" s="13">
        <v>2926</v>
      </c>
      <c r="C3" s="13">
        <v>1810</v>
      </c>
      <c r="E3" s="15">
        <f t="shared" ref="E3:E34" si="0">LN(A3/A2)</f>
        <v>3.789927259098573E-2</v>
      </c>
      <c r="F3" s="15">
        <f t="shared" ref="F3:G3" si="1">LN(B3/B2)</f>
        <v>8.2361481359363563E-3</v>
      </c>
      <c r="G3" s="15">
        <f t="shared" si="1"/>
        <v>2.3477881062282605E-2</v>
      </c>
      <c r="H3" s="15">
        <f t="shared" ref="H3:H34" si="2">+SUMPRODUCT(E3:G3,$P$1:$R$1)</f>
        <v>2.7640230241364916E-2</v>
      </c>
      <c r="J3" s="18">
        <f>+J2*EXP(H3)</f>
        <v>102.80257653011058</v>
      </c>
      <c r="K3" s="17">
        <f>+K2*EXP(E3)</f>
        <v>103.862660944206</v>
      </c>
      <c r="L3" s="17">
        <f>+L2*EXP(F3)</f>
        <v>100.82701585113713</v>
      </c>
      <c r="M3" s="17">
        <f>+M2*EXP(G3)</f>
        <v>102.37556561085972</v>
      </c>
      <c r="P3" s="20" t="s">
        <v>121</v>
      </c>
      <c r="Q3" s="20" t="s">
        <v>122</v>
      </c>
      <c r="R3" s="20" t="s">
        <v>123</v>
      </c>
      <c r="S3" s="20" t="s">
        <v>125</v>
      </c>
      <c r="U3" s="88" t="s">
        <v>167</v>
      </c>
      <c r="V3" s="88"/>
      <c r="Z3" s="22" t="s">
        <v>136</v>
      </c>
      <c r="AA3" s="22" t="s">
        <v>137</v>
      </c>
      <c r="AB3" s="23" t="s">
        <v>138</v>
      </c>
      <c r="AC3" s="22" t="s">
        <v>139</v>
      </c>
      <c r="AG3" s="74" t="s">
        <v>159</v>
      </c>
      <c r="AH3" s="69"/>
      <c r="AI3" s="70"/>
      <c r="AJ3" s="70"/>
      <c r="AK3" s="70"/>
      <c r="AL3" s="4"/>
      <c r="AM3" s="4"/>
      <c r="AN3" s="4"/>
      <c r="AO3" t="s">
        <v>202</v>
      </c>
      <c r="AP3" s="4" t="s">
        <v>203</v>
      </c>
      <c r="AQ3" s="4"/>
      <c r="BC3" s="65" t="s">
        <v>11</v>
      </c>
    </row>
    <row r="4" spans="1:55" x14ac:dyDescent="0.3">
      <c r="A4" s="13">
        <v>2440</v>
      </c>
      <c r="B4" s="13">
        <v>2910</v>
      </c>
      <c r="C4" s="13">
        <v>1784</v>
      </c>
      <c r="E4" s="15">
        <f t="shared" si="0"/>
        <v>8.2304991365154435E-3</v>
      </c>
      <c r="F4" s="15">
        <f t="shared" ref="F4:F67" si="3">LN(B4/B3)</f>
        <v>-5.4832214145313701E-3</v>
      </c>
      <c r="G4" s="15">
        <f t="shared" ref="G4:G67" si="4">LN(C4/C3)</f>
        <v>-1.4468811119916774E-2</v>
      </c>
      <c r="H4" s="15">
        <f t="shared" si="2"/>
        <v>-1.3220380506235845E-3</v>
      </c>
      <c r="J4" s="18">
        <f t="shared" ref="J4:J67" si="5">+J3*EXP(H4)</f>
        <v>102.66675741103921</v>
      </c>
      <c r="K4" s="17">
        <f t="shared" ref="K4:K67" si="6">+K3*EXP(E4)</f>
        <v>104.72103004291844</v>
      </c>
      <c r="L4" s="17">
        <f t="shared" ref="L4:L67" si="7">+L3*EXP(F4)</f>
        <v>100.27567195037904</v>
      </c>
      <c r="M4" s="17">
        <f t="shared" ref="M4:M67" si="8">+M3*EXP(G4)</f>
        <v>100.90497737556561</v>
      </c>
      <c r="O4" s="19" t="s">
        <v>132</v>
      </c>
      <c r="P4" s="19">
        <f>AVERAGE(E3:E108)</f>
        <v>1.4252864840943469E-3</v>
      </c>
      <c r="Q4" s="19">
        <f>AVERAGE(F3:F108)</f>
        <v>5.7384246451968788E-4</v>
      </c>
      <c r="R4" s="19">
        <f>AVERAGE(G3:G108)</f>
        <v>1.6922359138365751E-4</v>
      </c>
      <c r="S4" s="19">
        <f>AVERAGE(H3:H108)</f>
        <v>8.7817881236620812E-4</v>
      </c>
      <c r="U4" s="11"/>
      <c r="V4" s="51" t="s">
        <v>121</v>
      </c>
      <c r="Y4" s="22" t="s">
        <v>140</v>
      </c>
      <c r="Z4">
        <f>P4</f>
        <v>1.4252864840943469E-3</v>
      </c>
      <c r="AA4">
        <f>P5</f>
        <v>1.5895056921389365E-2</v>
      </c>
      <c r="AB4">
        <f>_xlfn.NORM.DIST(0,Z4,AA4,1)</f>
        <v>0.46427530990424282</v>
      </c>
      <c r="AC4">
        <f>P1</f>
        <v>0.5</v>
      </c>
      <c r="AG4" s="71"/>
      <c r="AH4" s="71"/>
      <c r="AI4" s="71" t="s">
        <v>140</v>
      </c>
      <c r="AJ4" s="71" t="s">
        <v>141</v>
      </c>
      <c r="AK4" s="71" t="s">
        <v>144</v>
      </c>
      <c r="AL4" s="47"/>
      <c r="AM4" s="47"/>
      <c r="AN4" s="4"/>
      <c r="AO4" s="67" t="s">
        <v>169</v>
      </c>
      <c r="AP4" s="67" t="s">
        <v>170</v>
      </c>
      <c r="AQ4" s="67" t="s">
        <v>171</v>
      </c>
      <c r="AR4" s="67" t="s">
        <v>172</v>
      </c>
      <c r="AS4" s="67"/>
      <c r="AT4" s="67"/>
      <c r="AU4" s="67" t="s">
        <v>204</v>
      </c>
      <c r="AV4" s="67" t="s">
        <v>205</v>
      </c>
      <c r="BC4" s="65" t="s">
        <v>12</v>
      </c>
    </row>
    <row r="5" spans="1:55" ht="21" x14ac:dyDescent="0.4">
      <c r="A5" s="13">
        <v>2410</v>
      </c>
      <c r="B5" s="13">
        <v>2960</v>
      </c>
      <c r="C5" s="13">
        <v>1790</v>
      </c>
      <c r="E5" s="15">
        <f t="shared" si="0"/>
        <v>-1.2371291802546829E-2</v>
      </c>
      <c r="F5" s="15">
        <f t="shared" si="3"/>
        <v>1.70361871525678E-2</v>
      </c>
      <c r="G5" s="15">
        <f t="shared" si="4"/>
        <v>3.3575856948459474E-3</v>
      </c>
      <c r="H5" s="15">
        <f t="shared" si="2"/>
        <v>-1.7711327623060702E-3</v>
      </c>
      <c r="J5" s="18">
        <f t="shared" si="5"/>
        <v>102.48508188661717</v>
      </c>
      <c r="K5" s="17">
        <f t="shared" si="6"/>
        <v>103.43347639484978</v>
      </c>
      <c r="L5" s="17">
        <f t="shared" si="7"/>
        <v>101.99862164024809</v>
      </c>
      <c r="M5" s="17">
        <f t="shared" si="8"/>
        <v>101.24434389140271</v>
      </c>
      <c r="O5" s="19" t="s">
        <v>133</v>
      </c>
      <c r="P5" s="19">
        <f>_xlfn.STDEV.S(E3:E108)</f>
        <v>1.5895056921389365E-2</v>
      </c>
      <c r="Q5" s="19">
        <f>_xlfn.STDEV.S(F3:F108)</f>
        <v>1.0982940735842084E-2</v>
      </c>
      <c r="R5" s="19">
        <f>_xlfn.STDEV.S(G3:G108)</f>
        <v>1.0348619410774099E-2</v>
      </c>
      <c r="S5" s="19">
        <f>_xlfn.STDEV.S(H3:H108)</f>
        <v>8.7689647972859861E-3</v>
      </c>
      <c r="U5" s="52" t="s">
        <v>134</v>
      </c>
      <c r="V5" s="53">
        <f>MAX(P5:S5)</f>
        <v>1.5895056921389365E-2</v>
      </c>
      <c r="Y5" s="22" t="s">
        <v>141</v>
      </c>
      <c r="Z5">
        <f>Q4</f>
        <v>5.7384246451968788E-4</v>
      </c>
      <c r="AA5">
        <f>Q5</f>
        <v>1.0982940735842084E-2</v>
      </c>
      <c r="AB5">
        <f t="shared" ref="AB5:AB7" si="9">_xlfn.NORM.DIST(0,Z5,AA5,1)</f>
        <v>0.47916533377889808</v>
      </c>
      <c r="AC5">
        <f>Q1</f>
        <v>0.2</v>
      </c>
      <c r="AG5" s="71"/>
      <c r="AH5" s="71"/>
      <c r="AI5" s="71">
        <v>1</v>
      </c>
      <c r="AJ5" s="71">
        <v>2</v>
      </c>
      <c r="AK5" s="71">
        <v>3</v>
      </c>
      <c r="AL5" s="47"/>
      <c r="AM5" s="40" t="s">
        <v>145</v>
      </c>
      <c r="AN5" s="4"/>
      <c r="AO5" s="68" t="s">
        <v>173</v>
      </c>
      <c r="AP5" s="68" t="s">
        <v>174</v>
      </c>
      <c r="AQ5" s="68" t="s">
        <v>175</v>
      </c>
      <c r="AR5" s="68" t="s">
        <v>176</v>
      </c>
      <c r="AS5" s="68"/>
      <c r="AT5" s="68"/>
      <c r="AU5" s="68" t="s">
        <v>177</v>
      </c>
      <c r="AV5" s="68" t="s">
        <v>178</v>
      </c>
      <c r="BC5" s="65" t="s">
        <v>13</v>
      </c>
    </row>
    <row r="6" spans="1:55" x14ac:dyDescent="0.3">
      <c r="A6" s="13">
        <v>2390</v>
      </c>
      <c r="B6" s="13">
        <v>2988</v>
      </c>
      <c r="C6" s="13">
        <v>1792</v>
      </c>
      <c r="E6" s="15">
        <f t="shared" si="0"/>
        <v>-8.3333815591442994E-3</v>
      </c>
      <c r="F6" s="15">
        <f t="shared" si="3"/>
        <v>9.4149989346018828E-3</v>
      </c>
      <c r="G6" s="15">
        <f t="shared" si="4"/>
        <v>1.1166947000751544E-3</v>
      </c>
      <c r="H6" s="15">
        <f t="shared" si="2"/>
        <v>-1.9486825826292267E-3</v>
      </c>
      <c r="J6" s="18">
        <f t="shared" si="5"/>
        <v>102.28556545280152</v>
      </c>
      <c r="K6" s="17">
        <f t="shared" si="6"/>
        <v>102.57510729613733</v>
      </c>
      <c r="L6" s="17">
        <f t="shared" si="7"/>
        <v>102.96347346657477</v>
      </c>
      <c r="M6" s="17">
        <f t="shared" si="8"/>
        <v>101.35746606334841</v>
      </c>
      <c r="U6" s="11" t="s">
        <v>136</v>
      </c>
      <c r="V6" s="11">
        <f>P4</f>
        <v>1.4252864840943469E-3</v>
      </c>
      <c r="Y6" s="22" t="s">
        <v>144</v>
      </c>
      <c r="Z6">
        <f>R4</f>
        <v>1.6922359138365751E-4</v>
      </c>
      <c r="AA6">
        <f>R5</f>
        <v>1.0348619410774099E-2</v>
      </c>
      <c r="AB6">
        <f>_xlfn.NORM.DIST(0,Z6,AA6,1)</f>
        <v>0.49347667218201152</v>
      </c>
      <c r="AC6">
        <f>R1</f>
        <v>0.3</v>
      </c>
      <c r="AG6" s="71" t="s">
        <v>140</v>
      </c>
      <c r="AH6" s="71">
        <v>1</v>
      </c>
      <c r="AI6" s="72">
        <f>CORREL(E3:E108,E3:E108)</f>
        <v>1</v>
      </c>
      <c r="AJ6" s="72">
        <f>CORREL(F3:F108,E3:E108)</f>
        <v>-4.3786777179972751E-2</v>
      </c>
      <c r="AK6" s="72">
        <v>-5.1151764109426352E-2</v>
      </c>
      <c r="AL6" s="49"/>
      <c r="AM6" s="32">
        <v>1.5895056921389365E-2</v>
      </c>
      <c r="AN6" s="4"/>
      <c r="AO6" s="68" t="s">
        <v>179</v>
      </c>
      <c r="AP6" s="68" t="s">
        <v>180</v>
      </c>
      <c r="AQ6" s="68" t="s">
        <v>181</v>
      </c>
      <c r="AR6" s="68" t="s">
        <v>182</v>
      </c>
      <c r="AS6" s="68"/>
      <c r="AT6" s="68"/>
      <c r="AU6" s="68" t="s">
        <v>183</v>
      </c>
      <c r="AV6" s="68" t="s">
        <v>184</v>
      </c>
      <c r="BC6" s="65" t="s">
        <v>14</v>
      </c>
    </row>
    <row r="7" spans="1:55" x14ac:dyDescent="0.3">
      <c r="A7" s="13">
        <v>2420</v>
      </c>
      <c r="B7" s="13">
        <v>2966</v>
      </c>
      <c r="C7" s="13">
        <v>1788</v>
      </c>
      <c r="E7" s="15">
        <f t="shared" si="0"/>
        <v>1.2474174225175818E-2</v>
      </c>
      <c r="F7" s="15">
        <f t="shared" si="3"/>
        <v>-7.3900235548305009E-3</v>
      </c>
      <c r="G7" s="15">
        <f t="shared" si="4"/>
        <v>-2.2346378014163771E-3</v>
      </c>
      <c r="H7" s="15">
        <f t="shared" si="2"/>
        <v>4.0886910611968958E-3</v>
      </c>
      <c r="J7" s="18">
        <f t="shared" si="5"/>
        <v>102.70463567047099</v>
      </c>
      <c r="K7" s="17">
        <f t="shared" si="6"/>
        <v>103.86266094420601</v>
      </c>
      <c r="L7" s="17">
        <f t="shared" si="7"/>
        <v>102.20537560303238</v>
      </c>
      <c r="M7" s="17">
        <f t="shared" si="8"/>
        <v>101.131221719457</v>
      </c>
      <c r="U7" s="11" t="s">
        <v>165</v>
      </c>
      <c r="V7" s="11">
        <f xml:space="preserve"> _xlfn.NORM.DIST(0, V6, V5, TRUE)</f>
        <v>0.46427530990424282</v>
      </c>
      <c r="Y7" t="s">
        <v>142</v>
      </c>
      <c r="Z7">
        <f>+SUMPRODUCT(AC4:AC6,Z4:Z6)</f>
        <v>8.7817881236620834E-4</v>
      </c>
      <c r="AA7">
        <f>SQRT( AC4^2 * AA4^2 + AC5^2 * AA5^2 + AC6^2 * AA6^2 + 2*AC4*AC5*AA4*AA5*$AB$9 + 2*AC4*AC6*AA4*AA6*$AB$9 + 2*AC5*AC6*AA5*AA6*$AB$9 )</f>
        <v>8.8105993698299155E-3</v>
      </c>
      <c r="AB7">
        <f t="shared" si="9"/>
        <v>0.46030197096727149</v>
      </c>
      <c r="AG7" s="71" t="s">
        <v>141</v>
      </c>
      <c r="AH7" s="71">
        <v>2</v>
      </c>
      <c r="AI7" s="72">
        <f>CORREL(F3:F108,E3:E108)</f>
        <v>-4.3786777179972751E-2</v>
      </c>
      <c r="AJ7" s="72">
        <f>CORREL(F3:F108,F3:F108)</f>
        <v>1</v>
      </c>
      <c r="AK7" s="73">
        <v>0.24350098599917672</v>
      </c>
      <c r="AL7" s="49"/>
      <c r="AM7" s="32">
        <v>1.0982940735842084E-2</v>
      </c>
      <c r="AN7" s="4"/>
      <c r="AO7" s="68" t="s">
        <v>185</v>
      </c>
      <c r="AP7" s="68" t="s">
        <v>186</v>
      </c>
      <c r="AQ7" s="68" t="s">
        <v>187</v>
      </c>
      <c r="AR7" s="68" t="s">
        <v>188</v>
      </c>
      <c r="AS7" s="68"/>
      <c r="AT7" s="68"/>
      <c r="AU7" s="68" t="s">
        <v>189</v>
      </c>
      <c r="AV7" s="68" t="s">
        <v>190</v>
      </c>
      <c r="BC7" s="65" t="s">
        <v>15</v>
      </c>
    </row>
    <row r="8" spans="1:55" x14ac:dyDescent="0.3">
      <c r="A8" s="13">
        <v>2400</v>
      </c>
      <c r="B8" s="13">
        <v>2994</v>
      </c>
      <c r="C8" s="13">
        <v>1800</v>
      </c>
      <c r="E8" s="15">
        <f t="shared" si="0"/>
        <v>-8.2988028146950658E-3</v>
      </c>
      <c r="F8" s="15">
        <f t="shared" si="3"/>
        <v>9.3960422816963089E-3</v>
      </c>
      <c r="G8" s="15">
        <f t="shared" si="4"/>
        <v>6.6889881507967101E-3</v>
      </c>
      <c r="H8" s="15">
        <f t="shared" si="2"/>
        <v>-2.6349650576925829E-4</v>
      </c>
      <c r="J8" s="18">
        <f t="shared" si="5"/>
        <v>102.67757692294478</v>
      </c>
      <c r="K8" s="17">
        <f t="shared" si="6"/>
        <v>103.00429184549357</v>
      </c>
      <c r="L8" s="17">
        <f t="shared" si="7"/>
        <v>103.17022742935906</v>
      </c>
      <c r="M8" s="17">
        <f t="shared" si="8"/>
        <v>101.80995475113122</v>
      </c>
      <c r="U8" s="55" t="s">
        <v>166</v>
      </c>
      <c r="V8" s="54">
        <f xml:space="preserve"> _xlfn.NORM.DIST(0, V6, V5, TRUE)</f>
        <v>0.46427530990424282</v>
      </c>
      <c r="AG8" s="71" t="s">
        <v>144</v>
      </c>
      <c r="AH8" s="71">
        <v>3</v>
      </c>
      <c r="AI8" s="73">
        <f>CORREL(G3:G108,E3:E108)</f>
        <v>-5.1151764109426352E-2</v>
      </c>
      <c r="AJ8" s="73">
        <f>CORREL(G3:G108,F3:F108)</f>
        <v>0.24350098599917672</v>
      </c>
      <c r="AK8" s="72">
        <f>CORREL(G3:G108,G3:G108)</f>
        <v>1</v>
      </c>
      <c r="AL8" s="49"/>
      <c r="AM8" s="32">
        <v>1.0348619410774099E-2</v>
      </c>
      <c r="AN8" s="4"/>
      <c r="AO8" s="68" t="s">
        <v>191</v>
      </c>
      <c r="AP8" s="68" t="s">
        <v>192</v>
      </c>
      <c r="AQ8" s="68" t="s">
        <v>193</v>
      </c>
      <c r="AR8" s="68" t="s">
        <v>194</v>
      </c>
      <c r="AS8" s="68"/>
      <c r="AT8" s="68"/>
      <c r="AU8" s="68" t="s">
        <v>195</v>
      </c>
      <c r="AV8" s="68" t="s">
        <v>196</v>
      </c>
      <c r="BC8" s="65" t="s">
        <v>16</v>
      </c>
    </row>
    <row r="9" spans="1:55" x14ac:dyDescent="0.3">
      <c r="A9" s="13">
        <v>2380</v>
      </c>
      <c r="B9" s="13">
        <v>2990</v>
      </c>
      <c r="C9" s="13">
        <v>1798</v>
      </c>
      <c r="E9" s="15">
        <f t="shared" si="0"/>
        <v>-8.3682496705165792E-3</v>
      </c>
      <c r="F9" s="15">
        <f t="shared" si="3"/>
        <v>-1.3368985948415196E-3</v>
      </c>
      <c r="G9" s="15">
        <f t="shared" si="4"/>
        <v>-1.1117288526904293E-3</v>
      </c>
      <c r="H9" s="15">
        <f t="shared" si="2"/>
        <v>-4.7850232100337224E-3</v>
      </c>
      <c r="J9" s="18">
        <f t="shared" si="5"/>
        <v>102.18743593742133</v>
      </c>
      <c r="K9" s="17">
        <f t="shared" si="6"/>
        <v>102.14592274678112</v>
      </c>
      <c r="L9" s="17">
        <f t="shared" si="7"/>
        <v>103.03239145416954</v>
      </c>
      <c r="M9" s="17">
        <f t="shared" si="8"/>
        <v>101.69683257918552</v>
      </c>
      <c r="Y9" t="s">
        <v>143</v>
      </c>
      <c r="Z9">
        <v>-1</v>
      </c>
      <c r="AG9" s="40"/>
      <c r="AH9" s="56"/>
      <c r="AI9" s="50"/>
      <c r="AJ9" s="50"/>
      <c r="AK9" s="50"/>
      <c r="AL9" s="50"/>
      <c r="AM9" s="50"/>
      <c r="AN9" s="57"/>
      <c r="AO9" s="68" t="s">
        <v>197</v>
      </c>
      <c r="AP9" s="68" t="s">
        <v>198</v>
      </c>
      <c r="AQ9" s="68" t="s">
        <v>199</v>
      </c>
      <c r="AR9" s="68" t="s">
        <v>199</v>
      </c>
      <c r="AS9" s="68"/>
      <c r="AT9" s="68"/>
      <c r="AU9" s="68" t="s">
        <v>200</v>
      </c>
      <c r="AV9" s="68" t="s">
        <v>201</v>
      </c>
      <c r="BC9" s="65" t="s">
        <v>17</v>
      </c>
    </row>
    <row r="10" spans="1:55" x14ac:dyDescent="0.3">
      <c r="A10" s="13">
        <v>2380</v>
      </c>
      <c r="B10" s="13">
        <v>2972</v>
      </c>
      <c r="C10" s="13">
        <v>1776</v>
      </c>
      <c r="E10" s="15">
        <f t="shared" si="0"/>
        <v>0</v>
      </c>
      <c r="F10" s="15">
        <f t="shared" si="3"/>
        <v>-6.0382605470823006E-3</v>
      </c>
      <c r="G10" s="15">
        <f t="shared" si="4"/>
        <v>-1.231129147945019E-2</v>
      </c>
      <c r="H10" s="15">
        <f t="shared" si="2"/>
        <v>-4.9010395532515169E-3</v>
      </c>
      <c r="J10" s="18">
        <f t="shared" si="5"/>
        <v>101.68783655026418</v>
      </c>
      <c r="K10" s="17">
        <f t="shared" si="6"/>
        <v>102.14592274678112</v>
      </c>
      <c r="L10" s="17">
        <f t="shared" si="7"/>
        <v>102.41212956581668</v>
      </c>
      <c r="M10" s="17">
        <f t="shared" si="8"/>
        <v>100.45248868778282</v>
      </c>
      <c r="AG10" s="4" t="s">
        <v>145</v>
      </c>
      <c r="AH10" s="4"/>
      <c r="AI10" s="32">
        <v>1.5895056921389365E-2</v>
      </c>
      <c r="AJ10" s="32">
        <v>1.0982940735842084E-2</v>
      </c>
      <c r="AK10" s="32">
        <v>1.0348619410774099E-2</v>
      </c>
      <c r="AL10" s="50"/>
      <c r="AM10" s="50"/>
      <c r="AN10" s="57"/>
      <c r="BC10" s="65" t="s">
        <v>18</v>
      </c>
    </row>
    <row r="11" spans="1:55" x14ac:dyDescent="0.3">
      <c r="A11" s="13">
        <v>2450</v>
      </c>
      <c r="B11" s="13">
        <v>2964</v>
      </c>
      <c r="C11" s="13">
        <v>1786</v>
      </c>
      <c r="E11" s="15">
        <f t="shared" si="0"/>
        <v>2.8987536873252187E-2</v>
      </c>
      <c r="F11" s="15">
        <f t="shared" si="3"/>
        <v>-2.6954194216723226E-3</v>
      </c>
      <c r="G11" s="15">
        <f t="shared" si="4"/>
        <v>5.6148378843289808E-3</v>
      </c>
      <c r="H11" s="15">
        <f t="shared" si="2"/>
        <v>1.5639135917590325E-2</v>
      </c>
      <c r="J11" s="18">
        <f t="shared" si="5"/>
        <v>103.29064706482309</v>
      </c>
      <c r="K11" s="17">
        <f t="shared" si="6"/>
        <v>105.15021459227468</v>
      </c>
      <c r="L11" s="17">
        <f t="shared" si="7"/>
        <v>102.13645761543764</v>
      </c>
      <c r="M11" s="17">
        <f t="shared" si="8"/>
        <v>101.01809954751133</v>
      </c>
      <c r="AG11" s="4"/>
      <c r="AH11" s="57"/>
      <c r="AI11" s="57"/>
      <c r="AJ11" s="57"/>
      <c r="AK11" s="57"/>
      <c r="AL11" s="48"/>
      <c r="AM11" s="48"/>
      <c r="AN11" s="4"/>
      <c r="AO11" s="4"/>
      <c r="AP11" s="4"/>
      <c r="AQ11" s="4"/>
      <c r="BC11" s="65" t="s">
        <v>19</v>
      </c>
    </row>
    <row r="12" spans="1:55" x14ac:dyDescent="0.3">
      <c r="A12" s="13">
        <v>2440</v>
      </c>
      <c r="B12" s="13">
        <v>2952</v>
      </c>
      <c r="C12" s="13">
        <v>1786</v>
      </c>
      <c r="E12" s="15">
        <f t="shared" si="0"/>
        <v>-4.0899852515251661E-3</v>
      </c>
      <c r="F12" s="15">
        <f t="shared" si="3"/>
        <v>-4.0568006956144299E-3</v>
      </c>
      <c r="G12" s="15">
        <f t="shared" si="4"/>
        <v>0</v>
      </c>
      <c r="H12" s="15">
        <f t="shared" si="2"/>
        <v>-2.8563527648854691E-3</v>
      </c>
      <c r="J12" s="18">
        <f t="shared" si="5"/>
        <v>102.99603349993453</v>
      </c>
      <c r="K12" s="17">
        <f t="shared" si="6"/>
        <v>104.72103004291846</v>
      </c>
      <c r="L12" s="17">
        <f t="shared" si="7"/>
        <v>101.72294968986905</v>
      </c>
      <c r="M12" s="17">
        <f t="shared" si="8"/>
        <v>101.01809954751133</v>
      </c>
      <c r="AL12" s="50"/>
      <c r="AM12" s="50"/>
      <c r="AN12" s="4"/>
      <c r="AO12" s="4"/>
      <c r="AP12" s="4"/>
      <c r="AQ12" s="4"/>
      <c r="BC12" s="65" t="s">
        <v>20</v>
      </c>
    </row>
    <row r="13" spans="1:55" x14ac:dyDescent="0.3">
      <c r="A13" s="13">
        <v>2400</v>
      </c>
      <c r="B13" s="13">
        <v>2956</v>
      </c>
      <c r="C13" s="13">
        <v>1796</v>
      </c>
      <c r="E13" s="15">
        <f t="shared" si="0"/>
        <v>-1.6529301951210582E-2</v>
      </c>
      <c r="F13" s="15">
        <f t="shared" si="3"/>
        <v>1.3540963477292301E-3</v>
      </c>
      <c r="G13" s="15">
        <f t="shared" si="4"/>
        <v>5.5834874257004652E-3</v>
      </c>
      <c r="H13" s="15">
        <f t="shared" si="2"/>
        <v>-6.3187854783493059E-3</v>
      </c>
      <c r="J13" s="18">
        <f t="shared" si="5"/>
        <v>102.34727549902642</v>
      </c>
      <c r="K13" s="17">
        <f t="shared" si="6"/>
        <v>103.00429184549357</v>
      </c>
      <c r="L13" s="17">
        <f t="shared" si="7"/>
        <v>101.86078566505857</v>
      </c>
      <c r="M13" s="17">
        <f t="shared" si="8"/>
        <v>101.58371040723982</v>
      </c>
      <c r="Y13" s="62"/>
      <c r="Z13" s="63" t="s">
        <v>136</v>
      </c>
      <c r="AA13" s="63" t="s">
        <v>137</v>
      </c>
      <c r="AB13" s="63" t="s">
        <v>138</v>
      </c>
      <c r="AC13" s="63" t="s">
        <v>139</v>
      </c>
      <c r="AG13" s="83" t="s">
        <v>152</v>
      </c>
      <c r="AH13" s="78"/>
      <c r="AI13" s="78"/>
      <c r="AJ13" s="78"/>
      <c r="AK13" s="78"/>
      <c r="AL13" s="48"/>
      <c r="AM13" s="48"/>
      <c r="AN13" s="4"/>
      <c r="AO13" s="4"/>
      <c r="AP13" s="4"/>
      <c r="AQ13" s="4"/>
      <c r="BC13" s="65" t="s">
        <v>21</v>
      </c>
    </row>
    <row r="14" spans="1:55" x14ac:dyDescent="0.3">
      <c r="A14" s="13">
        <v>2420</v>
      </c>
      <c r="B14" s="13">
        <v>2954</v>
      </c>
      <c r="C14" s="13">
        <v>1780</v>
      </c>
      <c r="E14" s="15">
        <f t="shared" si="0"/>
        <v>8.2988028146950641E-3</v>
      </c>
      <c r="F14" s="15">
        <f t="shared" si="3"/>
        <v>-6.7681897676732819E-4</v>
      </c>
      <c r="G14" s="15">
        <f t="shared" si="4"/>
        <v>-8.9486055760140334E-3</v>
      </c>
      <c r="H14" s="15">
        <f t="shared" si="2"/>
        <v>1.3294559391898563E-3</v>
      </c>
      <c r="J14" s="18">
        <f t="shared" si="5"/>
        <v>102.48343217939799</v>
      </c>
      <c r="K14" s="17">
        <f t="shared" si="6"/>
        <v>103.86266094420601</v>
      </c>
      <c r="L14" s="17">
        <f t="shared" si="7"/>
        <v>101.7918676774638</v>
      </c>
      <c r="M14" s="17">
        <f t="shared" si="8"/>
        <v>100.67873303167421</v>
      </c>
      <c r="Y14" s="63" t="s">
        <v>141</v>
      </c>
      <c r="Z14" s="62">
        <f>Q4</f>
        <v>5.7384246451968788E-4</v>
      </c>
      <c r="AA14" s="62">
        <f>Q5</f>
        <v>1.0982940735842084E-2</v>
      </c>
      <c r="AB14" s="62">
        <f>_xlfn.NORM.DIST(0,Z14,AA14,1)</f>
        <v>0.47916533377889808</v>
      </c>
      <c r="AC14" s="62">
        <f>(AA15^2 - AA14*AA15*$Z$18) / (AA14^2 + AA15^2 - 2*AA14*AA15*$Z$18)</f>
        <v>0.46110627910875118</v>
      </c>
      <c r="AG14" s="79"/>
      <c r="AH14" s="79"/>
      <c r="AI14" s="79" t="s">
        <v>140</v>
      </c>
      <c r="AJ14" s="79" t="s">
        <v>141</v>
      </c>
      <c r="AK14" s="79" t="s">
        <v>144</v>
      </c>
      <c r="AL14" s="4"/>
      <c r="AM14" s="4"/>
      <c r="AN14" s="4"/>
      <c r="AO14" s="4"/>
      <c r="AP14" s="4"/>
      <c r="AQ14" s="4"/>
      <c r="BC14" s="65" t="s">
        <v>22</v>
      </c>
    </row>
    <row r="15" spans="1:55" x14ac:dyDescent="0.3">
      <c r="A15" s="13">
        <v>2580</v>
      </c>
      <c r="B15" s="13">
        <v>2970</v>
      </c>
      <c r="C15" s="13">
        <v>1774</v>
      </c>
      <c r="E15" s="15">
        <f t="shared" si="0"/>
        <v>6.4021858764931022E-2</v>
      </c>
      <c r="F15" s="15">
        <f t="shared" si="3"/>
        <v>5.4017687054201532E-3</v>
      </c>
      <c r="G15" s="15">
        <f t="shared" si="4"/>
        <v>-3.3764804166060624E-3</v>
      </c>
      <c r="H15" s="15">
        <f t="shared" si="2"/>
        <v>3.2078338998567726E-2</v>
      </c>
      <c r="J15" s="18">
        <f t="shared" si="5"/>
        <v>105.82422756827712</v>
      </c>
      <c r="K15" s="17">
        <f t="shared" si="6"/>
        <v>110.72961373390558</v>
      </c>
      <c r="L15" s="17">
        <f t="shared" si="7"/>
        <v>102.3432115782219</v>
      </c>
      <c r="M15" s="17">
        <f t="shared" si="8"/>
        <v>100.3393665158371</v>
      </c>
      <c r="Y15" s="63" t="s">
        <v>144</v>
      </c>
      <c r="Z15" s="62">
        <f>R4</f>
        <v>1.6922359138365751E-4</v>
      </c>
      <c r="AA15" s="62">
        <f>R5</f>
        <v>1.0348619410774099E-2</v>
      </c>
      <c r="AB15" s="62">
        <f>_xlfn.NORM.DIST(0,Z15,AA15,1)</f>
        <v>0.49347667218201152</v>
      </c>
      <c r="AC15" s="62">
        <f>1-AC14</f>
        <v>0.53889372089124876</v>
      </c>
      <c r="AG15" s="79"/>
      <c r="AH15" s="79"/>
      <c r="AI15" s="79">
        <v>1</v>
      </c>
      <c r="AJ15" s="79">
        <v>2</v>
      </c>
      <c r="AK15" s="79">
        <v>3</v>
      </c>
      <c r="AL15" s="4"/>
      <c r="AM15" s="4" t="s">
        <v>139</v>
      </c>
      <c r="AN15" s="4"/>
      <c r="AO15" s="4"/>
      <c r="AP15" s="4"/>
      <c r="AQ15" s="4"/>
      <c r="BC15" s="65" t="s">
        <v>23</v>
      </c>
    </row>
    <row r="16" spans="1:55" x14ac:dyDescent="0.3">
      <c r="A16" s="13">
        <v>2690</v>
      </c>
      <c r="B16" s="13">
        <v>2968</v>
      </c>
      <c r="C16" s="13">
        <v>1772</v>
      </c>
      <c r="E16" s="15">
        <f t="shared" si="0"/>
        <v>4.1751794680221756E-2</v>
      </c>
      <c r="F16" s="15">
        <f t="shared" si="3"/>
        <v>-6.7362750947427613E-4</v>
      </c>
      <c r="G16" s="15">
        <f t="shared" si="4"/>
        <v>-1.1280317044985255E-3</v>
      </c>
      <c r="H16" s="15">
        <f t="shared" si="2"/>
        <v>2.0402762326866466E-2</v>
      </c>
      <c r="J16" s="18">
        <f t="shared" si="5"/>
        <v>108.00551056418635</v>
      </c>
      <c r="K16" s="17">
        <f t="shared" si="6"/>
        <v>115.45064377682404</v>
      </c>
      <c r="L16" s="17">
        <f t="shared" si="7"/>
        <v>102.27429359062712</v>
      </c>
      <c r="M16" s="17">
        <f t="shared" si="8"/>
        <v>100.22624434389139</v>
      </c>
      <c r="AG16" s="79" t="s">
        <v>140</v>
      </c>
      <c r="AH16" s="79">
        <v>1</v>
      </c>
      <c r="AI16" s="80">
        <f t="shared" ref="AI16:AK18" si="10">AI6*$AM6*AI$10</f>
        <v>2.5265283453420798E-4</v>
      </c>
      <c r="AJ16" s="81">
        <f t="shared" si="10"/>
        <v>-7.6440533386541298E-6</v>
      </c>
      <c r="AK16" s="82">
        <f t="shared" si="10"/>
        <v>-8.4140505900851227E-6</v>
      </c>
      <c r="AL16" s="40"/>
      <c r="AM16" s="75" cm="1">
        <f t="array" ref="AM16:AM18">TRANSPOSE(AI21:AK21)</f>
        <v>0.5</v>
      </c>
      <c r="AN16" s="4"/>
      <c r="AO16" s="40"/>
      <c r="AP16" s="40"/>
      <c r="AQ16" s="40"/>
      <c r="BC16" s="65" t="s">
        <v>24</v>
      </c>
    </row>
    <row r="17" spans="1:55" x14ac:dyDescent="0.3">
      <c r="A17" s="13">
        <v>2700</v>
      </c>
      <c r="B17" s="13">
        <v>3020</v>
      </c>
      <c r="C17" s="13">
        <v>1776</v>
      </c>
      <c r="E17" s="15">
        <f t="shared" si="0"/>
        <v>3.7105793965355534E-3</v>
      </c>
      <c r="F17" s="15">
        <f t="shared" si="3"/>
        <v>1.7368506081644173E-2</v>
      </c>
      <c r="G17" s="15">
        <f t="shared" si="4"/>
        <v>2.2547923870890828E-3</v>
      </c>
      <c r="H17" s="15">
        <f t="shared" si="2"/>
        <v>6.0054286307233366E-3</v>
      </c>
      <c r="J17" s="18">
        <f t="shared" si="5"/>
        <v>108.65608147294043</v>
      </c>
      <c r="K17" s="17">
        <f t="shared" si="6"/>
        <v>115.87982832618025</v>
      </c>
      <c r="L17" s="17">
        <f t="shared" si="7"/>
        <v>104.06616126809094</v>
      </c>
      <c r="M17" s="17">
        <f t="shared" si="8"/>
        <v>100.45248868778279</v>
      </c>
      <c r="Y17" s="62" t="s">
        <v>142</v>
      </c>
      <c r="Z17" s="62">
        <f>+SUMPRODUCT(AC4:AC6,Z4:Z6)</f>
        <v>8.7817881236620834E-4</v>
      </c>
      <c r="AA17" s="62">
        <f>SQRT( AC4^2 * AA4^2 + AC5^2 * AA5^2 + AC6^2 * AA6^2 + 2*AC4*AC5*AA4*AA5*$AB$9 + 2*AC4*AC6*AA4*AA6*$AB$9 + 2*AC5*AC6*AA5*AA6*$AB$9 )</f>
        <v>8.8105993698299155E-3</v>
      </c>
      <c r="AB17" s="62">
        <f>_xlfn.NORM.DIST(0,Z17,AA17,1)</f>
        <v>0.46030197096727149</v>
      </c>
      <c r="AG17" s="79" t="s">
        <v>141</v>
      </c>
      <c r="AH17" s="79">
        <v>2</v>
      </c>
      <c r="AI17" s="80">
        <f t="shared" si="10"/>
        <v>-7.6440533386541315E-6</v>
      </c>
      <c r="AJ17" s="80">
        <f t="shared" si="10"/>
        <v>1.2062498720701945E-4</v>
      </c>
      <c r="AK17" s="81">
        <f t="shared" si="10"/>
        <v>2.7675901709582461E-5</v>
      </c>
      <c r="AL17" s="56"/>
      <c r="AM17" s="75">
        <v>0.44</v>
      </c>
      <c r="AN17" s="4"/>
      <c r="AO17" s="4"/>
      <c r="AP17" s="4"/>
      <c r="AQ17" s="4"/>
      <c r="BC17" s="65" t="s">
        <v>25</v>
      </c>
    </row>
    <row r="18" spans="1:55" x14ac:dyDescent="0.3">
      <c r="A18" s="13">
        <v>2700</v>
      </c>
      <c r="B18" s="13">
        <v>3016</v>
      </c>
      <c r="C18" s="13">
        <v>1768</v>
      </c>
      <c r="E18" s="15">
        <f t="shared" si="0"/>
        <v>0</v>
      </c>
      <c r="F18" s="15">
        <f t="shared" si="3"/>
        <v>-1.325381241068682E-3</v>
      </c>
      <c r="G18" s="15">
        <f t="shared" si="4"/>
        <v>-4.5146803545265827E-3</v>
      </c>
      <c r="H18" s="15">
        <f t="shared" si="2"/>
        <v>-1.6194803545717111E-3</v>
      </c>
      <c r="J18" s="18">
        <f t="shared" si="5"/>
        <v>108.48025749375837</v>
      </c>
      <c r="K18" s="17">
        <f t="shared" si="6"/>
        <v>115.87982832618025</v>
      </c>
      <c r="L18" s="17">
        <f t="shared" si="7"/>
        <v>103.92832529290141</v>
      </c>
      <c r="M18" s="17">
        <f t="shared" si="8"/>
        <v>99.999999999999986</v>
      </c>
      <c r="Y18" s="64" t="s">
        <v>143</v>
      </c>
      <c r="Z18" s="64">
        <f>CORREL(F3:F100, G3:G100)</f>
        <v>0.2365411079070697</v>
      </c>
      <c r="AG18" s="79" t="s">
        <v>144</v>
      </c>
      <c r="AH18" s="79">
        <v>3</v>
      </c>
      <c r="AI18" s="80">
        <f t="shared" si="10"/>
        <v>-8.4140505900851244E-6</v>
      </c>
      <c r="AJ18" s="80">
        <f t="shared" si="10"/>
        <v>2.7675901709582458E-5</v>
      </c>
      <c r="AK18" s="80">
        <f t="shared" si="10"/>
        <v>1.0709392370905045E-4</v>
      </c>
      <c r="AL18" s="50"/>
      <c r="AM18" s="76">
        <v>0.06</v>
      </c>
      <c r="AN18" s="4"/>
      <c r="AO18" s="58"/>
      <c r="AP18" s="58"/>
      <c r="AQ18" s="58"/>
      <c r="AR18" s="59"/>
      <c r="BC18" s="65" t="s">
        <v>26</v>
      </c>
    </row>
    <row r="19" spans="1:55" x14ac:dyDescent="0.3">
      <c r="A19" s="13">
        <v>2670</v>
      </c>
      <c r="B19" s="13">
        <v>2982</v>
      </c>
      <c r="C19" s="13">
        <v>1782</v>
      </c>
      <c r="E19" s="15">
        <f t="shared" si="0"/>
        <v>-1.1173300598125189E-2</v>
      </c>
      <c r="F19" s="15">
        <f t="shared" si="3"/>
        <v>-1.1337233803162974E-2</v>
      </c>
      <c r="G19" s="15">
        <f t="shared" si="4"/>
        <v>7.8873648331658462E-3</v>
      </c>
      <c r="H19" s="15">
        <f t="shared" si="2"/>
        <v>-5.487887609745435E-3</v>
      </c>
      <c r="J19" s="18">
        <f t="shared" si="5"/>
        <v>107.88656059371286</v>
      </c>
      <c r="K19" s="17">
        <f t="shared" si="6"/>
        <v>114.59227467811158</v>
      </c>
      <c r="L19" s="17">
        <f t="shared" si="7"/>
        <v>102.75671950379045</v>
      </c>
      <c r="M19" s="17">
        <f t="shared" si="8"/>
        <v>100.79185520361989</v>
      </c>
      <c r="AL19" s="50"/>
      <c r="AM19" s="50"/>
      <c r="AN19" s="4"/>
      <c r="AP19" s="58"/>
      <c r="AQ19" s="58"/>
      <c r="AR19" s="59"/>
      <c r="BC19" s="65" t="s">
        <v>27</v>
      </c>
    </row>
    <row r="20" spans="1:55" x14ac:dyDescent="0.3">
      <c r="A20" s="13">
        <v>2650</v>
      </c>
      <c r="B20" s="13">
        <v>3000</v>
      </c>
      <c r="C20" s="13">
        <v>1764</v>
      </c>
      <c r="E20" s="15">
        <f t="shared" si="0"/>
        <v>-7.5188324140273398E-3</v>
      </c>
      <c r="F20" s="15">
        <f t="shared" si="3"/>
        <v>6.0180723255629448E-3</v>
      </c>
      <c r="G20" s="15">
        <f t="shared" si="4"/>
        <v>-1.0152371464017962E-2</v>
      </c>
      <c r="H20" s="15">
        <f t="shared" si="2"/>
        <v>-5.601513181106469E-3</v>
      </c>
      <c r="J20" s="18">
        <f t="shared" si="5"/>
        <v>107.28392202217974</v>
      </c>
      <c r="K20" s="17">
        <f t="shared" si="6"/>
        <v>113.73390557939913</v>
      </c>
      <c r="L20" s="17">
        <f t="shared" si="7"/>
        <v>103.37698139214331</v>
      </c>
      <c r="M20" s="17">
        <f t="shared" si="8"/>
        <v>99.773755656108577</v>
      </c>
      <c r="Y20" s="89" t="s">
        <v>168</v>
      </c>
      <c r="Z20" s="90">
        <f>SQRT(AC14^2*AA14^2 + AC15^2*AA15^2 + 2*AC14*AC15*AA14*AA15*$Z$18)</f>
        <v>8.3731128032395914E-3</v>
      </c>
      <c r="AL20" s="50"/>
      <c r="AM20" s="50"/>
      <c r="AN20" s="4"/>
      <c r="AO20" s="58"/>
      <c r="AP20" s="58"/>
      <c r="AQ20" s="58"/>
      <c r="AR20" s="59"/>
      <c r="BC20" s="65" t="s">
        <v>28</v>
      </c>
    </row>
    <row r="21" spans="1:55" x14ac:dyDescent="0.3">
      <c r="A21" s="13">
        <v>2650</v>
      </c>
      <c r="B21" s="13">
        <v>3012</v>
      </c>
      <c r="C21" s="13">
        <v>1778</v>
      </c>
      <c r="E21" s="15">
        <f t="shared" si="0"/>
        <v>0</v>
      </c>
      <c r="F21" s="15">
        <f t="shared" si="3"/>
        <v>3.9920212695374567E-3</v>
      </c>
      <c r="G21" s="15">
        <f t="shared" si="4"/>
        <v>7.9051795071132473E-3</v>
      </c>
      <c r="H21" s="15">
        <f t="shared" si="2"/>
        <v>3.1699581060414656E-3</v>
      </c>
      <c r="J21" s="18">
        <f t="shared" si="5"/>
        <v>107.6245471589138</v>
      </c>
      <c r="K21" s="17">
        <f t="shared" si="6"/>
        <v>113.73390557939913</v>
      </c>
      <c r="L21" s="17">
        <f t="shared" si="7"/>
        <v>103.79048931771187</v>
      </c>
      <c r="M21" s="17">
        <f t="shared" si="8"/>
        <v>100.56561085972848</v>
      </c>
      <c r="Y21" s="89"/>
      <c r="Z21" s="90"/>
      <c r="AG21" s="40" t="s">
        <v>139</v>
      </c>
      <c r="AH21" s="4"/>
      <c r="AI21" s="41">
        <v>0.5</v>
      </c>
      <c r="AJ21" s="41">
        <v>0.44</v>
      </c>
      <c r="AK21" s="60">
        <v>0.06</v>
      </c>
      <c r="AL21" s="50"/>
      <c r="AM21" s="50">
        <f>SUM(_xlfn.ANCHORARRAY(AM16))</f>
        <v>1</v>
      </c>
      <c r="AN21" s="4"/>
      <c r="AO21" s="58"/>
      <c r="AP21" s="58"/>
      <c r="AQ21" s="58"/>
      <c r="AR21" s="59"/>
      <c r="BC21" s="65" t="s">
        <v>29</v>
      </c>
    </row>
    <row r="22" spans="1:55" x14ac:dyDescent="0.3">
      <c r="A22" s="13">
        <v>2700</v>
      </c>
      <c r="B22" s="13">
        <v>3030</v>
      </c>
      <c r="C22" s="13">
        <v>1776</v>
      </c>
      <c r="E22" s="15">
        <f t="shared" si="0"/>
        <v>1.8692133012152546E-2</v>
      </c>
      <c r="F22" s="15">
        <f t="shared" si="3"/>
        <v>5.9583095836306249E-3</v>
      </c>
      <c r="G22" s="15">
        <f t="shared" si="4"/>
        <v>-1.1254925217344803E-3</v>
      </c>
      <c r="H22" s="15">
        <f t="shared" si="2"/>
        <v>1.0200080666282054E-2</v>
      </c>
      <c r="J22" s="18">
        <f t="shared" si="5"/>
        <v>108.72794402353429</v>
      </c>
      <c r="K22" s="17">
        <f t="shared" si="6"/>
        <v>115.87982832618025</v>
      </c>
      <c r="L22" s="17">
        <f t="shared" si="7"/>
        <v>104.41075120606473</v>
      </c>
      <c r="M22" s="17">
        <f t="shared" si="8"/>
        <v>100.45248868778278</v>
      </c>
      <c r="AG22" s="40"/>
      <c r="AH22" s="56"/>
      <c r="AI22" s="50"/>
      <c r="AJ22" s="50"/>
      <c r="AK22" s="50"/>
      <c r="AL22" s="50"/>
      <c r="AM22" s="50"/>
      <c r="AN22" s="4"/>
      <c r="AO22" s="58"/>
      <c r="AP22" s="58"/>
      <c r="AQ22" s="58"/>
      <c r="AR22" s="59"/>
      <c r="BC22" s="65" t="s">
        <v>30</v>
      </c>
    </row>
    <row r="23" spans="1:55" x14ac:dyDescent="0.3">
      <c r="A23" s="13">
        <v>2790</v>
      </c>
      <c r="B23" s="13">
        <v>3030</v>
      </c>
      <c r="C23" s="13">
        <v>1782</v>
      </c>
      <c r="E23" s="15">
        <f t="shared" si="0"/>
        <v>3.278982282299097E-2</v>
      </c>
      <c r="F23" s="15">
        <f t="shared" si="3"/>
        <v>0</v>
      </c>
      <c r="G23" s="15">
        <f t="shared" si="4"/>
        <v>3.372684478639156E-3</v>
      </c>
      <c r="H23" s="15">
        <f t="shared" si="2"/>
        <v>1.7406716755087231E-2</v>
      </c>
      <c r="J23" s="18">
        <f t="shared" si="5"/>
        <v>110.63710848586126</v>
      </c>
      <c r="K23" s="17">
        <f t="shared" si="6"/>
        <v>119.74248927038627</v>
      </c>
      <c r="L23" s="17">
        <f t="shared" si="7"/>
        <v>104.41075120606473</v>
      </c>
      <c r="M23" s="17">
        <f t="shared" si="8"/>
        <v>100.79185520361987</v>
      </c>
      <c r="AG23" s="4"/>
      <c r="AH23" s="4"/>
      <c r="AI23" s="4"/>
      <c r="AJ23" s="4"/>
      <c r="AK23" s="4"/>
      <c r="AL23" s="57"/>
      <c r="AM23" s="57"/>
      <c r="AN23" s="4"/>
      <c r="AO23" s="57"/>
      <c r="AP23" s="57"/>
      <c r="AQ23" s="57"/>
      <c r="AR23" s="59"/>
      <c r="BC23" s="65" t="s">
        <v>31</v>
      </c>
    </row>
    <row r="24" spans="1:55" x14ac:dyDescent="0.3">
      <c r="A24" s="13">
        <v>2950</v>
      </c>
      <c r="B24" s="13">
        <v>3014</v>
      </c>
      <c r="C24" s="13">
        <v>1790</v>
      </c>
      <c r="E24" s="15">
        <f t="shared" si="0"/>
        <v>5.576357451845429E-2</v>
      </c>
      <c r="F24" s="15">
        <f t="shared" si="3"/>
        <v>-5.294519316974099E-3</v>
      </c>
      <c r="G24" s="15">
        <f t="shared" si="4"/>
        <v>4.479290804046041E-3</v>
      </c>
      <c r="H24" s="15">
        <f t="shared" si="2"/>
        <v>2.8166670637046136E-2</v>
      </c>
      <c r="J24" s="18">
        <f t="shared" si="5"/>
        <v>113.79769005670991</v>
      </c>
      <c r="K24" s="17">
        <f t="shared" si="6"/>
        <v>126.60944206008585</v>
      </c>
      <c r="L24" s="17">
        <f>+L23*EXP(F24)</f>
        <v>103.85940730530663</v>
      </c>
      <c r="M24" s="17">
        <f t="shared" si="8"/>
        <v>101.24434389140268</v>
      </c>
      <c r="AH24" s="4"/>
      <c r="AI24" s="40" t="s">
        <v>140</v>
      </c>
      <c r="AJ24" s="40" t="s">
        <v>141</v>
      </c>
      <c r="AK24" s="40" t="s">
        <v>144</v>
      </c>
      <c r="AL24" s="40"/>
      <c r="AM24" s="58"/>
      <c r="AN24" s="4"/>
      <c r="AO24" s="58"/>
      <c r="AP24" s="58"/>
      <c r="AQ24" s="58"/>
      <c r="AR24" s="59"/>
      <c r="BC24" s="65" t="s">
        <v>32</v>
      </c>
    </row>
    <row r="25" spans="1:55" x14ac:dyDescent="0.3">
      <c r="A25" s="13">
        <v>2900</v>
      </c>
      <c r="B25" s="13">
        <v>3024</v>
      </c>
      <c r="C25" s="13">
        <v>1790</v>
      </c>
      <c r="E25" s="15">
        <f t="shared" si="0"/>
        <v>-1.7094433359300068E-2</v>
      </c>
      <c r="F25" s="15">
        <f t="shared" si="3"/>
        <v>3.3123581129828744E-3</v>
      </c>
      <c r="G25" s="15">
        <f t="shared" si="4"/>
        <v>0</v>
      </c>
      <c r="H25" s="15">
        <f t="shared" si="2"/>
        <v>-7.8847450570534595E-3</v>
      </c>
      <c r="J25" s="18">
        <f t="shared" si="5"/>
        <v>112.90395235971752</v>
      </c>
      <c r="K25" s="17">
        <f t="shared" si="6"/>
        <v>124.46351931330474</v>
      </c>
      <c r="L25" s="17">
        <f t="shared" si="7"/>
        <v>104.20399724328044</v>
      </c>
      <c r="M25" s="17">
        <f t="shared" si="8"/>
        <v>101.24434389140268</v>
      </c>
      <c r="AG25" s="4"/>
      <c r="AH25" s="4" t="s">
        <v>149</v>
      </c>
      <c r="AI25" s="39">
        <f>P4</f>
        <v>1.4252864840943469E-3</v>
      </c>
      <c r="AJ25" s="39">
        <f>Q4</f>
        <v>5.7384246451968788E-4</v>
      </c>
      <c r="AK25" s="39">
        <f>R4</f>
        <v>1.6922359138365751E-4</v>
      </c>
      <c r="AL25" s="61"/>
      <c r="AM25" s="4"/>
      <c r="AN25" s="4"/>
      <c r="AO25" s="57"/>
      <c r="AP25" s="57"/>
      <c r="AQ25" s="57"/>
      <c r="AR25" s="59"/>
      <c r="BC25" s="65" t="s">
        <v>33</v>
      </c>
    </row>
    <row r="26" spans="1:55" x14ac:dyDescent="0.3">
      <c r="A26" s="13">
        <v>2860</v>
      </c>
      <c r="B26" s="13">
        <v>2996</v>
      </c>
      <c r="C26" s="13">
        <v>1774</v>
      </c>
      <c r="E26" s="15">
        <f t="shared" si="0"/>
        <v>-1.388911216066715E-2</v>
      </c>
      <c r="F26" s="15">
        <f t="shared" si="3"/>
        <v>-9.3023926623135612E-3</v>
      </c>
      <c r="G26" s="15">
        <f t="shared" si="4"/>
        <v>-8.9787359652758712E-3</v>
      </c>
      <c r="H26" s="15">
        <f t="shared" si="2"/>
        <v>-1.1498655402379048E-2</v>
      </c>
      <c r="J26" s="18">
        <f t="shared" si="5"/>
        <v>111.61314421938826</v>
      </c>
      <c r="K26" s="17">
        <f t="shared" si="6"/>
        <v>122.74678111587984</v>
      </c>
      <c r="L26" s="17">
        <f t="shared" si="7"/>
        <v>103.23914541695376</v>
      </c>
      <c r="M26" s="17">
        <f t="shared" si="8"/>
        <v>100.33936651583707</v>
      </c>
      <c r="AG26" s="4"/>
      <c r="AH26" s="4"/>
      <c r="AI26" s="4"/>
      <c r="AJ26" s="4"/>
      <c r="AK26" s="4"/>
      <c r="AL26" s="4"/>
      <c r="AM26" s="4"/>
      <c r="AN26" s="4"/>
      <c r="AO26" s="57"/>
      <c r="AP26" s="57"/>
      <c r="AQ26" s="57"/>
      <c r="AR26" s="59"/>
      <c r="BC26" s="65" t="s">
        <v>34</v>
      </c>
    </row>
    <row r="27" spans="1:55" x14ac:dyDescent="0.3">
      <c r="A27" s="13">
        <v>2900</v>
      </c>
      <c r="B27" s="13">
        <v>3020</v>
      </c>
      <c r="C27" s="13">
        <v>1774</v>
      </c>
      <c r="E27" s="15">
        <f t="shared" si="0"/>
        <v>1.3889112160667093E-2</v>
      </c>
      <c r="F27" s="15">
        <f t="shared" si="3"/>
        <v>7.97876573180532E-3</v>
      </c>
      <c r="G27" s="15">
        <f t="shared" si="4"/>
        <v>0</v>
      </c>
      <c r="H27" s="15">
        <f t="shared" si="2"/>
        <v>8.5403092266946104E-3</v>
      </c>
      <c r="J27" s="18">
        <f t="shared" si="5"/>
        <v>112.57043695428523</v>
      </c>
      <c r="K27" s="17">
        <f t="shared" si="6"/>
        <v>124.46351931330473</v>
      </c>
      <c r="L27" s="17">
        <f t="shared" si="7"/>
        <v>104.06616126809092</v>
      </c>
      <c r="M27" s="17">
        <f t="shared" si="8"/>
        <v>100.33936651583707</v>
      </c>
      <c r="AG27" s="4"/>
      <c r="AH27" s="4"/>
      <c r="AI27" s="4"/>
      <c r="AJ27" s="4"/>
      <c r="AK27" s="4"/>
      <c r="AL27" s="4"/>
      <c r="AM27" s="56"/>
      <c r="AN27" s="57"/>
      <c r="AO27" s="4"/>
      <c r="AP27" s="4"/>
      <c r="AQ27" s="4"/>
      <c r="BC27" s="65" t="s">
        <v>35</v>
      </c>
    </row>
    <row r="28" spans="1:55" x14ac:dyDescent="0.3">
      <c r="A28" s="13">
        <v>2920</v>
      </c>
      <c r="B28" s="13">
        <v>3050</v>
      </c>
      <c r="C28" s="13">
        <v>1772</v>
      </c>
      <c r="E28" s="15">
        <f t="shared" si="0"/>
        <v>6.8728792877620504E-3</v>
      </c>
      <c r="F28" s="15">
        <f t="shared" si="3"/>
        <v>9.8847592325419249E-3</v>
      </c>
      <c r="G28" s="15">
        <f t="shared" si="4"/>
        <v>-1.1280317044985255E-3</v>
      </c>
      <c r="H28" s="15">
        <f t="shared" si="2"/>
        <v>5.0749819790398519E-3</v>
      </c>
      <c r="J28" s="18">
        <f t="shared" si="5"/>
        <v>113.14318199931731</v>
      </c>
      <c r="K28" s="17">
        <f t="shared" si="6"/>
        <v>125.32188841201717</v>
      </c>
      <c r="L28" s="17">
        <f t="shared" si="7"/>
        <v>105.09993108201235</v>
      </c>
      <c r="M28" s="17">
        <f t="shared" si="8"/>
        <v>100.22624434389137</v>
      </c>
      <c r="AG28" s="40"/>
      <c r="AH28" s="69" t="s">
        <v>148</v>
      </c>
      <c r="AK28" s="4"/>
      <c r="AL28" s="4"/>
      <c r="AM28" s="61"/>
      <c r="AN28" s="57"/>
      <c r="AO28" s="4"/>
      <c r="AP28" s="4"/>
      <c r="AQ28" s="4"/>
      <c r="BC28" s="65" t="s">
        <v>36</v>
      </c>
    </row>
    <row r="29" spans="1:55" x14ac:dyDescent="0.3">
      <c r="A29" s="13">
        <v>2920</v>
      </c>
      <c r="B29" s="13">
        <v>3042</v>
      </c>
      <c r="C29" s="13">
        <v>1774</v>
      </c>
      <c r="E29" s="15">
        <f t="shared" si="0"/>
        <v>0</v>
      </c>
      <c r="F29" s="15">
        <f t="shared" si="3"/>
        <v>-2.6263967822191328E-3</v>
      </c>
      <c r="G29" s="15">
        <f t="shared" si="4"/>
        <v>1.128031704498637E-3</v>
      </c>
      <c r="H29" s="15">
        <f t="shared" si="2"/>
        <v>-1.8686984509423552E-4</v>
      </c>
      <c r="J29" s="18">
        <f t="shared" si="5"/>
        <v>113.12204092579972</v>
      </c>
      <c r="K29" s="17">
        <f t="shared" si="6"/>
        <v>125.32188841201717</v>
      </c>
      <c r="L29" s="17">
        <f t="shared" si="7"/>
        <v>104.8242591316333</v>
      </c>
      <c r="M29" s="17">
        <f t="shared" si="8"/>
        <v>100.33936651583707</v>
      </c>
      <c r="AG29" s="40"/>
      <c r="AH29" s="4"/>
      <c r="AI29" s="4"/>
      <c r="AJ29" s="4"/>
      <c r="AK29" s="4"/>
      <c r="AL29" s="4"/>
      <c r="AM29" s="57"/>
      <c r="AN29" s="57"/>
      <c r="AO29" s="4"/>
      <c r="AP29" s="4"/>
      <c r="AQ29" s="4"/>
      <c r="BC29" s="65" t="s">
        <v>37</v>
      </c>
    </row>
    <row r="30" spans="1:55" x14ac:dyDescent="0.3">
      <c r="A30" s="13">
        <v>2880</v>
      </c>
      <c r="B30" s="13">
        <v>3020</v>
      </c>
      <c r="C30" s="13">
        <v>1770</v>
      </c>
      <c r="E30" s="15">
        <f t="shared" si="0"/>
        <v>-1.3793322132335873E-2</v>
      </c>
      <c r="F30" s="15">
        <f t="shared" si="3"/>
        <v>-7.2583624503228424E-3</v>
      </c>
      <c r="G30" s="15">
        <f t="shared" si="4"/>
        <v>-2.2573373016499389E-3</v>
      </c>
      <c r="H30" s="15">
        <f t="shared" si="2"/>
        <v>-9.0255347467274871E-3</v>
      </c>
      <c r="J30" s="18">
        <f t="shared" si="5"/>
        <v>112.10564766079841</v>
      </c>
      <c r="K30" s="17">
        <f t="shared" si="6"/>
        <v>123.60515021459227</v>
      </c>
      <c r="L30" s="17">
        <f t="shared" si="7"/>
        <v>104.06616126809091</v>
      </c>
      <c r="M30" s="17">
        <f t="shared" si="8"/>
        <v>100.11312217194568</v>
      </c>
      <c r="AG30" s="40"/>
      <c r="AH30" s="9" t="s">
        <v>147</v>
      </c>
      <c r="AI30" s="77">
        <f>SUMPRODUCT(AI21:AK21,AI25:AK25)</f>
        <v>9.7528734191885556E-4</v>
      </c>
      <c r="AJ30" s="4"/>
      <c r="AK30" s="36" t="s">
        <v>145</v>
      </c>
      <c r="AL30" s="36" t="s">
        <v>136</v>
      </c>
      <c r="AM30" s="4"/>
      <c r="AN30" s="4"/>
      <c r="AO30" s="4"/>
      <c r="AP30" s="4"/>
      <c r="AQ30" s="4"/>
      <c r="BC30" s="65" t="s">
        <v>38</v>
      </c>
    </row>
    <row r="31" spans="1:55" x14ac:dyDescent="0.3">
      <c r="A31" s="13">
        <v>2860</v>
      </c>
      <c r="B31" s="13">
        <v>3058</v>
      </c>
      <c r="C31" s="13">
        <v>1752</v>
      </c>
      <c r="E31" s="15">
        <f t="shared" si="0"/>
        <v>-6.9686693160933158E-3</v>
      </c>
      <c r="F31" s="15">
        <f t="shared" si="3"/>
        <v>1.250427612009233E-2</v>
      </c>
      <c r="G31" s="15">
        <f t="shared" si="4"/>
        <v>-1.0221554071538028E-2</v>
      </c>
      <c r="H31" s="15">
        <f t="shared" si="2"/>
        <v>-4.0499456554895993E-3</v>
      </c>
      <c r="J31" s="18">
        <f t="shared" si="5"/>
        <v>111.65254402197473</v>
      </c>
      <c r="K31" s="17">
        <f t="shared" si="6"/>
        <v>122.74678111587983</v>
      </c>
      <c r="L31" s="17">
        <f t="shared" si="7"/>
        <v>105.3756030323914</v>
      </c>
      <c r="M31" s="17">
        <f t="shared" si="8"/>
        <v>99.095022624434364</v>
      </c>
      <c r="AG31" s="40"/>
      <c r="AH31" s="9" t="s">
        <v>146</v>
      </c>
      <c r="AI31" s="39" cm="1">
        <f t="array" ref="AI31">MMULT(AI21:AK21, MMULT(AI16:AK18,_xlfn.ANCHORARRAY( AM16)))</f>
        <v>8.4494805388036584E-5</v>
      </c>
      <c r="AJ31" s="4"/>
      <c r="AK31" s="38">
        <f>AI32</f>
        <v>9.1921056014406498E-3</v>
      </c>
      <c r="AL31" s="38">
        <f>AI30</f>
        <v>9.7528734191885556E-4</v>
      </c>
      <c r="AM31" s="4"/>
      <c r="AN31" s="4"/>
      <c r="AO31" s="4"/>
      <c r="AP31" s="4"/>
      <c r="AQ31" s="4"/>
      <c r="BC31" s="65" t="s">
        <v>39</v>
      </c>
    </row>
    <row r="32" spans="1:55" x14ac:dyDescent="0.3">
      <c r="A32" s="13">
        <v>2840</v>
      </c>
      <c r="B32" s="13">
        <v>3072</v>
      </c>
      <c r="C32" s="13">
        <v>1762</v>
      </c>
      <c r="E32" s="15">
        <f t="shared" si="0"/>
        <v>-7.0175726586465346E-3</v>
      </c>
      <c r="F32" s="15">
        <f t="shared" si="3"/>
        <v>4.5677077785551872E-3</v>
      </c>
      <c r="G32" s="15">
        <f t="shared" si="4"/>
        <v>5.6915349997880551E-3</v>
      </c>
      <c r="H32" s="15">
        <f t="shared" si="2"/>
        <v>-8.8778427367581332E-4</v>
      </c>
      <c r="J32" s="18">
        <f t="shared" si="5"/>
        <v>111.55346463634388</v>
      </c>
      <c r="K32" s="17">
        <f t="shared" si="6"/>
        <v>121.88841201716738</v>
      </c>
      <c r="L32" s="17">
        <f t="shared" si="7"/>
        <v>105.85802894555474</v>
      </c>
      <c r="M32" s="17">
        <f t="shared" si="8"/>
        <v>99.660633484162872</v>
      </c>
      <c r="AG32" s="40"/>
      <c r="AH32" s="9" t="s">
        <v>145</v>
      </c>
      <c r="AI32" s="39">
        <f>SQRT(AI31)</f>
        <v>9.1921056014406498E-3</v>
      </c>
      <c r="AJ32" s="4"/>
      <c r="AK32" s="4"/>
      <c r="AL32" s="4"/>
      <c r="AM32" s="4"/>
      <c r="AN32" s="4"/>
      <c r="AO32" s="4"/>
      <c r="AP32" s="4"/>
      <c r="AQ32" s="4"/>
      <c r="BC32" s="65" t="s">
        <v>40</v>
      </c>
    </row>
    <row r="33" spans="1:55" x14ac:dyDescent="0.3">
      <c r="A33" s="13">
        <v>2830</v>
      </c>
      <c r="B33" s="13">
        <v>3080</v>
      </c>
      <c r="C33" s="13">
        <v>1760</v>
      </c>
      <c r="E33" s="15">
        <f t="shared" si="0"/>
        <v>-3.5273405179684107E-3</v>
      </c>
      <c r="F33" s="15">
        <f t="shared" si="3"/>
        <v>2.6007817000574403E-3</v>
      </c>
      <c r="G33" s="15">
        <f t="shared" si="4"/>
        <v>-1.1357184639273798E-3</v>
      </c>
      <c r="H33" s="15">
        <f t="shared" si="2"/>
        <v>-1.5842294581509312E-3</v>
      </c>
      <c r="J33" s="18">
        <f t="shared" si="5"/>
        <v>111.37687826510657</v>
      </c>
      <c r="K33" s="17">
        <f t="shared" si="6"/>
        <v>121.45922746781116</v>
      </c>
      <c r="L33" s="17">
        <f t="shared" si="7"/>
        <v>106.1337008959338</v>
      </c>
      <c r="M33" s="17">
        <f t="shared" si="8"/>
        <v>99.547511312217168</v>
      </c>
      <c r="AG33" s="4"/>
      <c r="AM33" s="4"/>
      <c r="AN33" s="4"/>
      <c r="AO33" s="4"/>
      <c r="AP33" s="4"/>
      <c r="AQ33" s="4"/>
      <c r="BC33" s="65" t="s">
        <v>41</v>
      </c>
    </row>
    <row r="34" spans="1:55" x14ac:dyDescent="0.3">
      <c r="A34" s="13">
        <v>2890</v>
      </c>
      <c r="B34" s="13">
        <v>3070</v>
      </c>
      <c r="C34" s="13">
        <v>1750</v>
      </c>
      <c r="E34" s="15">
        <f t="shared" si="0"/>
        <v>2.0979790469194466E-2</v>
      </c>
      <c r="F34" s="15">
        <f t="shared" si="3"/>
        <v>-3.2520353863773432E-3</v>
      </c>
      <c r="G34" s="15">
        <f t="shared" si="4"/>
        <v>-5.6980211146377786E-3</v>
      </c>
      <c r="H34" s="15">
        <f t="shared" si="2"/>
        <v>8.1300818229304295E-3</v>
      </c>
      <c r="J34" s="18">
        <f t="shared" si="5"/>
        <v>112.28607230153474</v>
      </c>
      <c r="K34" s="17">
        <f t="shared" si="6"/>
        <v>124.03433476394849</v>
      </c>
      <c r="L34" s="17">
        <f t="shared" si="7"/>
        <v>105.78911095795999</v>
      </c>
      <c r="M34" s="17">
        <f t="shared" si="8"/>
        <v>98.981900452488659</v>
      </c>
      <c r="AG34" s="4"/>
      <c r="AM34" s="4"/>
      <c r="AN34" s="4"/>
      <c r="AO34" s="4"/>
      <c r="AP34" s="4"/>
      <c r="AQ34" s="4"/>
      <c r="BC34" s="65" t="s">
        <v>42</v>
      </c>
    </row>
    <row r="35" spans="1:55" x14ac:dyDescent="0.3">
      <c r="A35" s="13">
        <v>2860</v>
      </c>
      <c r="B35" s="13">
        <v>3042</v>
      </c>
      <c r="C35" s="13">
        <v>1750</v>
      </c>
      <c r="E35" s="15">
        <f t="shared" ref="E35:E66" si="11">LN(A35/A34)</f>
        <v>-1.0434877292579619E-2</v>
      </c>
      <c r="F35" s="15">
        <f t="shared" si="3"/>
        <v>-9.1623677620046324E-3</v>
      </c>
      <c r="G35" s="15">
        <f t="shared" si="4"/>
        <v>0</v>
      </c>
      <c r="H35" s="15">
        <f t="shared" ref="H35:H66" si="12">+SUMPRODUCT(E35:G35,$P$1:$R$1)</f>
        <v>-7.0499121986907359E-3</v>
      </c>
      <c r="J35" s="18">
        <f t="shared" si="5"/>
        <v>111.4972491846529</v>
      </c>
      <c r="K35" s="17">
        <f t="shared" si="6"/>
        <v>122.74678111587981</v>
      </c>
      <c r="L35" s="17">
        <f t="shared" si="7"/>
        <v>104.82425913163333</v>
      </c>
      <c r="M35" s="17">
        <f t="shared" si="8"/>
        <v>98.981900452488659</v>
      </c>
      <c r="AG35" s="23" t="s">
        <v>145</v>
      </c>
      <c r="AH35" s="23" t="s">
        <v>136</v>
      </c>
      <c r="AM35" s="4"/>
      <c r="AN35" s="4"/>
      <c r="AO35" s="4"/>
      <c r="AP35" s="4"/>
      <c r="AQ35" s="4"/>
      <c r="BC35" s="65" t="s">
        <v>43</v>
      </c>
    </row>
    <row r="36" spans="1:55" x14ac:dyDescent="0.3">
      <c r="A36" s="13">
        <v>2870</v>
      </c>
      <c r="B36" s="13">
        <v>3050</v>
      </c>
      <c r="C36" s="13">
        <v>1758</v>
      </c>
      <c r="E36" s="15">
        <f t="shared" si="11"/>
        <v>3.4904049397685676E-3</v>
      </c>
      <c r="F36" s="15">
        <f t="shared" si="3"/>
        <v>2.6263967822190825E-3</v>
      </c>
      <c r="G36" s="15">
        <f t="shared" si="4"/>
        <v>4.5610113275626673E-3</v>
      </c>
      <c r="H36" s="15">
        <f t="shared" si="12"/>
        <v>3.6387852245969004E-3</v>
      </c>
      <c r="J36" s="18">
        <f t="shared" si="5"/>
        <v>111.90370277775439</v>
      </c>
      <c r="K36" s="17">
        <f t="shared" si="6"/>
        <v>123.17596566523603</v>
      </c>
      <c r="L36" s="17">
        <f t="shared" si="7"/>
        <v>105.09993108201238</v>
      </c>
      <c r="M36" s="17">
        <f t="shared" si="8"/>
        <v>99.434389140271477</v>
      </c>
      <c r="AG36" s="38">
        <v>9.9208822220015723E-3</v>
      </c>
      <c r="AH36" s="38">
        <v>1.0037851016372772E-3</v>
      </c>
      <c r="BC36" s="65" t="s">
        <v>44</v>
      </c>
    </row>
    <row r="37" spans="1:55" x14ac:dyDescent="0.3">
      <c r="A37" s="13">
        <v>2890</v>
      </c>
      <c r="B37" s="13">
        <v>3050</v>
      </c>
      <c r="C37" s="13">
        <v>1742</v>
      </c>
      <c r="E37" s="15">
        <f t="shared" si="11"/>
        <v>6.944472352810995E-3</v>
      </c>
      <c r="F37" s="15">
        <f t="shared" si="3"/>
        <v>0</v>
      </c>
      <c r="G37" s="15">
        <f t="shared" si="4"/>
        <v>-9.1429208326741888E-3</v>
      </c>
      <c r="H37" s="15">
        <f t="shared" si="12"/>
        <v>7.2935992660324092E-4</v>
      </c>
      <c r="J37" s="18">
        <f t="shared" si="5"/>
        <v>111.98535062591378</v>
      </c>
      <c r="K37" s="17">
        <f t="shared" si="6"/>
        <v>124.03433476394848</v>
      </c>
      <c r="L37" s="17">
        <f t="shared" si="7"/>
        <v>105.09993108201238</v>
      </c>
      <c r="M37" s="17">
        <f t="shared" si="8"/>
        <v>98.52941176470587</v>
      </c>
      <c r="AG37" s="84">
        <v>8.77E-3</v>
      </c>
      <c r="AH37" s="84">
        <v>8.8000000000000003E-4</v>
      </c>
      <c r="BC37" s="65" t="s">
        <v>45</v>
      </c>
    </row>
    <row r="38" spans="1:55" x14ac:dyDescent="0.3">
      <c r="A38" s="13">
        <v>2830</v>
      </c>
      <c r="B38" s="13">
        <v>3022</v>
      </c>
      <c r="C38" s="13">
        <v>1738</v>
      </c>
      <c r="E38" s="15">
        <f t="shared" si="11"/>
        <v>-2.0979790469194522E-2</v>
      </c>
      <c r="F38" s="15">
        <f t="shared" si="3"/>
        <v>-9.2227267687724473E-3</v>
      </c>
      <c r="G38" s="15">
        <f t="shared" si="4"/>
        <v>-2.2988515871107127E-3</v>
      </c>
      <c r="H38" s="15">
        <f t="shared" si="12"/>
        <v>-1.3024096064484965E-2</v>
      </c>
      <c r="J38" s="18">
        <f t="shared" si="5"/>
        <v>110.53629943563453</v>
      </c>
      <c r="K38" s="17">
        <f t="shared" si="6"/>
        <v>121.45922746781115</v>
      </c>
      <c r="L38" s="17">
        <f t="shared" si="7"/>
        <v>104.1350792556857</v>
      </c>
      <c r="M38" s="17">
        <f t="shared" si="8"/>
        <v>98.303167420814475</v>
      </c>
      <c r="O38" s="86" t="s">
        <v>135</v>
      </c>
      <c r="P38" s="87"/>
      <c r="Q38" s="87"/>
      <c r="R38" s="87"/>
      <c r="S38" s="87"/>
      <c r="T38" s="87"/>
      <c r="AF38" s="84"/>
      <c r="AG38" s="38">
        <v>7.876983742064407E-3</v>
      </c>
      <c r="AH38" s="38">
        <v>7.9303441040874233E-4</v>
      </c>
      <c r="BC38" s="65" t="s">
        <v>46</v>
      </c>
    </row>
    <row r="39" spans="1:55" x14ac:dyDescent="0.3">
      <c r="A39" s="13">
        <v>2850</v>
      </c>
      <c r="B39" s="13">
        <v>3000</v>
      </c>
      <c r="C39" s="13">
        <v>1752</v>
      </c>
      <c r="E39" s="15">
        <f t="shared" si="11"/>
        <v>7.042282625412951E-3</v>
      </c>
      <c r="F39" s="15">
        <f t="shared" si="3"/>
        <v>-7.3065751824381393E-3</v>
      </c>
      <c r="G39" s="15">
        <f t="shared" si="4"/>
        <v>8.0229656709994643E-3</v>
      </c>
      <c r="H39" s="15">
        <f t="shared" si="12"/>
        <v>4.4667159775186871E-3</v>
      </c>
      <c r="J39" s="18">
        <f t="shared" si="5"/>
        <v>111.0311380193908</v>
      </c>
      <c r="K39" s="17">
        <f t="shared" si="6"/>
        <v>122.3175965665236</v>
      </c>
      <c r="L39" s="17">
        <f t="shared" si="7"/>
        <v>103.37698139214331</v>
      </c>
      <c r="M39" s="17">
        <f t="shared" si="8"/>
        <v>99.095022624434392</v>
      </c>
      <c r="O39" s="87"/>
      <c r="P39" s="87"/>
      <c r="Q39" s="87"/>
      <c r="R39" s="87"/>
      <c r="S39" s="87"/>
      <c r="T39" s="87"/>
      <c r="AF39" s="84"/>
      <c r="AG39" s="11">
        <v>7.7104237395428394E-3</v>
      </c>
      <c r="AH39" s="11">
        <v>4.9713931722274163E-4</v>
      </c>
      <c r="BC39" s="65" t="s">
        <v>47</v>
      </c>
    </row>
    <row r="40" spans="1:55" x14ac:dyDescent="0.3">
      <c r="A40" s="13">
        <v>2840</v>
      </c>
      <c r="B40" s="13">
        <v>3022</v>
      </c>
      <c r="C40" s="13">
        <v>1754</v>
      </c>
      <c r="E40" s="15">
        <f t="shared" si="11"/>
        <v>-3.5149421074444969E-3</v>
      </c>
      <c r="F40" s="15">
        <f t="shared" si="3"/>
        <v>7.3065751824382148E-3</v>
      </c>
      <c r="G40" s="15">
        <f t="shared" si="4"/>
        <v>1.1409014357916423E-3</v>
      </c>
      <c r="H40" s="15">
        <f t="shared" si="12"/>
        <v>4.6114413502887353E-5</v>
      </c>
      <c r="J40" s="18">
        <f t="shared" si="5"/>
        <v>111.03625827325897</v>
      </c>
      <c r="K40" s="17">
        <f t="shared" si="6"/>
        <v>121.88841201716738</v>
      </c>
      <c r="L40" s="17">
        <f t="shared" si="7"/>
        <v>104.1350792556857</v>
      </c>
      <c r="M40" s="17">
        <f t="shared" si="8"/>
        <v>99.208144796380097</v>
      </c>
      <c r="O40" s="87"/>
      <c r="P40" s="87"/>
      <c r="Q40" s="87"/>
      <c r="R40" s="87"/>
      <c r="S40" s="87"/>
      <c r="T40" s="87"/>
      <c r="AG40" s="38">
        <v>7.6300352937230869E-3</v>
      </c>
      <c r="AH40" s="38">
        <v>4.5667742990913862E-4</v>
      </c>
      <c r="BC40" s="65" t="s">
        <v>48</v>
      </c>
    </row>
    <row r="41" spans="1:55" x14ac:dyDescent="0.3">
      <c r="A41" s="13">
        <v>2830</v>
      </c>
      <c r="B41" s="13">
        <v>3008</v>
      </c>
      <c r="C41" s="13">
        <v>1750</v>
      </c>
      <c r="E41" s="15">
        <f t="shared" si="11"/>
        <v>-3.5273405179684107E-3</v>
      </c>
      <c r="F41" s="15">
        <f t="shared" si="3"/>
        <v>-4.6434577629544073E-3</v>
      </c>
      <c r="G41" s="15">
        <f t="shared" si="4"/>
        <v>-2.2831060145686323E-3</v>
      </c>
      <c r="H41" s="15">
        <f t="shared" si="12"/>
        <v>-3.3772936159456768E-3</v>
      </c>
      <c r="J41" s="18">
        <f t="shared" si="5"/>
        <v>110.6618887607781</v>
      </c>
      <c r="K41" s="17">
        <f t="shared" si="6"/>
        <v>121.45922746781116</v>
      </c>
      <c r="L41" s="17">
        <f t="shared" si="7"/>
        <v>103.65265334252237</v>
      </c>
      <c r="M41" s="17">
        <f t="shared" si="8"/>
        <v>98.981900452488688</v>
      </c>
      <c r="O41" s="87"/>
      <c r="P41" s="87"/>
      <c r="Q41" s="87"/>
      <c r="R41" s="87"/>
      <c r="S41" s="87"/>
      <c r="T41" s="87"/>
      <c r="AG41" s="38">
        <v>7.4609039057792065E-3</v>
      </c>
      <c r="AH41" s="38">
        <v>6.2274560649381054E-4</v>
      </c>
      <c r="BC41" s="65" t="s">
        <v>49</v>
      </c>
    </row>
    <row r="42" spans="1:55" x14ac:dyDescent="0.3">
      <c r="A42" s="13">
        <v>2800</v>
      </c>
      <c r="B42" s="13">
        <v>3010</v>
      </c>
      <c r="C42" s="13">
        <v>1818</v>
      </c>
      <c r="E42" s="15">
        <f t="shared" si="11"/>
        <v>-1.065729447398798E-2</v>
      </c>
      <c r="F42" s="15">
        <f t="shared" si="3"/>
        <v>6.6467267319095984E-4</v>
      </c>
      <c r="G42" s="15">
        <f t="shared" si="4"/>
        <v>3.8121207819864465E-2</v>
      </c>
      <c r="H42" s="15">
        <f t="shared" si="12"/>
        <v>6.2406496436035411E-3</v>
      </c>
      <c r="J42" s="18">
        <f t="shared" si="5"/>
        <v>111.35465022990222</v>
      </c>
      <c r="K42" s="17">
        <f t="shared" si="6"/>
        <v>120.17167381974249</v>
      </c>
      <c r="L42" s="17">
        <f t="shared" si="7"/>
        <v>103.72157133011713</v>
      </c>
      <c r="M42" s="17">
        <f t="shared" si="8"/>
        <v>102.82805429864254</v>
      </c>
      <c r="O42" s="87"/>
      <c r="P42" s="87"/>
      <c r="Q42" s="87"/>
      <c r="R42" s="87"/>
      <c r="S42" s="87"/>
      <c r="T42" s="87"/>
      <c r="AG42" s="38">
        <v>7.414197238934492E-3</v>
      </c>
      <c r="AH42" s="38">
        <v>7.0789000845127654E-4</v>
      </c>
      <c r="BC42" s="65" t="s">
        <v>50</v>
      </c>
    </row>
    <row r="43" spans="1:55" x14ac:dyDescent="0.3">
      <c r="A43" s="13">
        <v>2830</v>
      </c>
      <c r="B43" s="13">
        <v>2998</v>
      </c>
      <c r="C43" s="13">
        <v>1818</v>
      </c>
      <c r="E43" s="15">
        <f t="shared" si="11"/>
        <v>1.0657294473987979E-2</v>
      </c>
      <c r="F43" s="15">
        <f t="shared" si="3"/>
        <v>-3.9946790803784028E-3</v>
      </c>
      <c r="G43" s="15">
        <f t="shared" si="4"/>
        <v>0</v>
      </c>
      <c r="H43" s="15">
        <f t="shared" si="12"/>
        <v>4.5297114209183085E-3</v>
      </c>
      <c r="J43" s="18">
        <f t="shared" si="5"/>
        <v>111.86019879095085</v>
      </c>
      <c r="K43" s="17">
        <f t="shared" si="6"/>
        <v>121.45922746781116</v>
      </c>
      <c r="L43" s="17">
        <f t="shared" si="7"/>
        <v>103.30806340454856</v>
      </c>
      <c r="M43" s="17">
        <f t="shared" si="8"/>
        <v>102.82805429864254</v>
      </c>
      <c r="AG43" s="38">
        <v>7.2682962959972688E-3</v>
      </c>
      <c r="AH43" s="38">
        <v>5.8228371918020753E-4</v>
      </c>
      <c r="BC43" s="65" t="s">
        <v>51</v>
      </c>
    </row>
    <row r="44" spans="1:55" x14ac:dyDescent="0.3">
      <c r="A44" s="13">
        <v>2800</v>
      </c>
      <c r="B44" s="13">
        <v>2968</v>
      </c>
      <c r="C44" s="13">
        <v>1848</v>
      </c>
      <c r="E44" s="15">
        <f t="shared" si="11"/>
        <v>-1.065729447398798E-2</v>
      </c>
      <c r="F44" s="15">
        <f t="shared" si="3"/>
        <v>-1.0057074375271945E-2</v>
      </c>
      <c r="G44" s="15">
        <f t="shared" si="4"/>
        <v>1.6366977464205412E-2</v>
      </c>
      <c r="H44" s="15">
        <f t="shared" si="12"/>
        <v>-2.4299688727867554E-3</v>
      </c>
      <c r="J44" s="18">
        <f t="shared" si="5"/>
        <v>111.58871197562884</v>
      </c>
      <c r="K44" s="17">
        <f t="shared" si="6"/>
        <v>120.17167381974249</v>
      </c>
      <c r="L44" s="17">
        <f t="shared" si="7"/>
        <v>102.27429359062712</v>
      </c>
      <c r="M44" s="17">
        <f t="shared" si="8"/>
        <v>104.52488687782807</v>
      </c>
      <c r="AG44" s="38">
        <v>1.5895056921389365E-2</v>
      </c>
      <c r="AH44" s="38">
        <v>1.4252864840943469E-3</v>
      </c>
      <c r="BC44" s="65" t="s">
        <v>52</v>
      </c>
    </row>
    <row r="45" spans="1:55" x14ac:dyDescent="0.3">
      <c r="A45" s="13">
        <v>2780</v>
      </c>
      <c r="B45" s="13">
        <v>2998</v>
      </c>
      <c r="C45" s="13">
        <v>1874</v>
      </c>
      <c r="E45" s="15">
        <f t="shared" si="11"/>
        <v>-7.168489478612516E-3</v>
      </c>
      <c r="F45" s="15">
        <f t="shared" si="3"/>
        <v>1.0057074375271874E-2</v>
      </c>
      <c r="G45" s="15">
        <f t="shared" si="4"/>
        <v>1.3971210596738079E-2</v>
      </c>
      <c r="H45" s="15">
        <f t="shared" si="12"/>
        <v>2.6185333147695404E-3</v>
      </c>
      <c r="J45" s="18">
        <f t="shared" si="5"/>
        <v>111.88129363572227</v>
      </c>
      <c r="K45" s="17">
        <f t="shared" si="6"/>
        <v>119.31330472103005</v>
      </c>
      <c r="L45" s="17">
        <f t="shared" si="7"/>
        <v>103.30806340454855</v>
      </c>
      <c r="M45" s="17">
        <f t="shared" si="8"/>
        <v>105.9954751131222</v>
      </c>
      <c r="AG45" s="84">
        <v>1.1291814558907074E-2</v>
      </c>
      <c r="AH45" s="84">
        <v>1.153246460563482E-3</v>
      </c>
      <c r="BC45" s="65" t="s">
        <v>53</v>
      </c>
    </row>
    <row r="46" spans="1:55" x14ac:dyDescent="0.3">
      <c r="A46" s="13">
        <v>2790</v>
      </c>
      <c r="B46" s="13">
        <v>2998</v>
      </c>
      <c r="C46" s="13">
        <v>1900</v>
      </c>
      <c r="E46" s="15">
        <f t="shared" si="11"/>
        <v>3.59066813072854E-3</v>
      </c>
      <c r="F46" s="15">
        <f t="shared" si="3"/>
        <v>0</v>
      </c>
      <c r="G46" s="15">
        <f t="shared" si="4"/>
        <v>1.3778702356164255E-2</v>
      </c>
      <c r="H46" s="15">
        <f t="shared" si="12"/>
        <v>5.9289447722135468E-3</v>
      </c>
      <c r="J46" s="18">
        <f t="shared" si="5"/>
        <v>112.54660198603483</v>
      </c>
      <c r="K46" s="17">
        <f t="shared" si="6"/>
        <v>119.74248927038627</v>
      </c>
      <c r="L46" s="17">
        <f t="shared" si="7"/>
        <v>103.30806340454855</v>
      </c>
      <c r="M46" s="17">
        <f t="shared" si="8"/>
        <v>107.46606334841631</v>
      </c>
      <c r="AG46" s="38">
        <v>9.1921056014406498E-3</v>
      </c>
      <c r="AH46" s="38">
        <v>9.7528734191885556E-4</v>
      </c>
      <c r="BC46" s="65" t="s">
        <v>54</v>
      </c>
    </row>
    <row r="47" spans="1:55" x14ac:dyDescent="0.3">
      <c r="A47" s="13">
        <v>2840</v>
      </c>
      <c r="B47" s="13">
        <v>3000</v>
      </c>
      <c r="C47" s="13">
        <v>1904</v>
      </c>
      <c r="E47" s="15">
        <f t="shared" si="11"/>
        <v>1.7762456339840468E-2</v>
      </c>
      <c r="F47" s="15">
        <f t="shared" si="3"/>
        <v>6.6688898770377427E-4</v>
      </c>
      <c r="G47" s="15">
        <f t="shared" si="4"/>
        <v>2.10305019677889E-3</v>
      </c>
      <c r="H47" s="15">
        <f t="shared" si="12"/>
        <v>9.6455210264946543E-3</v>
      </c>
      <c r="J47" s="18">
        <f t="shared" si="5"/>
        <v>113.63742492259303</v>
      </c>
      <c r="K47" s="17">
        <f t="shared" si="6"/>
        <v>121.8884120171674</v>
      </c>
      <c r="L47" s="17">
        <f t="shared" si="7"/>
        <v>103.37698139214332</v>
      </c>
      <c r="M47" s="17">
        <f t="shared" si="8"/>
        <v>107.69230769230772</v>
      </c>
      <c r="AG47" s="84"/>
      <c r="AH47" s="84"/>
      <c r="BC47" s="65" t="s">
        <v>55</v>
      </c>
    </row>
    <row r="48" spans="1:55" x14ac:dyDescent="0.3">
      <c r="A48" s="13">
        <v>2830</v>
      </c>
      <c r="B48" s="13">
        <v>2976</v>
      </c>
      <c r="C48" s="13">
        <v>1918</v>
      </c>
      <c r="E48" s="15">
        <f t="shared" si="11"/>
        <v>-3.5273405179684107E-3</v>
      </c>
      <c r="F48" s="15">
        <f t="shared" si="3"/>
        <v>-8.0321716972642666E-3</v>
      </c>
      <c r="G48" s="15">
        <f t="shared" si="4"/>
        <v>7.3260400920728812E-3</v>
      </c>
      <c r="H48" s="15">
        <f t="shared" si="12"/>
        <v>-1.1722925708151943E-3</v>
      </c>
      <c r="J48" s="18">
        <f t="shared" si="5"/>
        <v>113.5042866673308</v>
      </c>
      <c r="K48" s="17">
        <f t="shared" si="6"/>
        <v>121.45922746781117</v>
      </c>
      <c r="L48" s="17">
        <f t="shared" si="7"/>
        <v>102.54996554100617</v>
      </c>
      <c r="M48" s="17">
        <f t="shared" si="8"/>
        <v>108.48416289592762</v>
      </c>
      <c r="AG48" s="84"/>
      <c r="AH48" s="84"/>
      <c r="BC48" s="65" t="s">
        <v>56</v>
      </c>
    </row>
    <row r="49" spans="1:55" x14ac:dyDescent="0.3">
      <c r="A49" s="13">
        <v>2810</v>
      </c>
      <c r="B49" s="13">
        <v>3000</v>
      </c>
      <c r="C49" s="13">
        <v>1930</v>
      </c>
      <c r="E49" s="15">
        <f t="shared" si="11"/>
        <v>-7.0922283094919103E-3</v>
      </c>
      <c r="F49" s="15">
        <f t="shared" si="3"/>
        <v>8.0321716972642527E-3</v>
      </c>
      <c r="G49" s="15">
        <f t="shared" si="4"/>
        <v>6.2370264555476982E-3</v>
      </c>
      <c r="H49" s="15">
        <f t="shared" si="12"/>
        <v>-6.8571878628795064E-5</v>
      </c>
      <c r="J49" s="18">
        <f t="shared" si="5"/>
        <v>113.4965037320099</v>
      </c>
      <c r="K49" s="17">
        <f t="shared" si="6"/>
        <v>120.60085836909872</v>
      </c>
      <c r="L49" s="17">
        <f t="shared" si="7"/>
        <v>103.37698139214332</v>
      </c>
      <c r="M49" s="17">
        <f t="shared" si="8"/>
        <v>109.16289592760184</v>
      </c>
      <c r="AG49" s="84"/>
      <c r="AH49" s="84"/>
      <c r="BC49" s="65" t="s">
        <v>57</v>
      </c>
    </row>
    <row r="50" spans="1:55" x14ac:dyDescent="0.3">
      <c r="A50" s="13">
        <v>2810</v>
      </c>
      <c r="B50" s="13">
        <v>3006</v>
      </c>
      <c r="C50" s="13">
        <v>1984</v>
      </c>
      <c r="E50" s="15">
        <f t="shared" si="11"/>
        <v>0</v>
      </c>
      <c r="F50" s="15">
        <f t="shared" si="3"/>
        <v>1.9980026626730579E-3</v>
      </c>
      <c r="G50" s="15">
        <f t="shared" si="4"/>
        <v>2.7595005945886833E-2</v>
      </c>
      <c r="H50" s="15">
        <f t="shared" si="12"/>
        <v>8.678102316300661E-3</v>
      </c>
      <c r="J50" s="18">
        <f t="shared" si="5"/>
        <v>114.48572407347733</v>
      </c>
      <c r="K50" s="17">
        <f t="shared" si="6"/>
        <v>120.60085836909872</v>
      </c>
      <c r="L50" s="17">
        <f t="shared" si="7"/>
        <v>103.58373535492761</v>
      </c>
      <c r="M50" s="17">
        <f t="shared" si="8"/>
        <v>112.21719457013577</v>
      </c>
      <c r="BC50" s="65" t="s">
        <v>58</v>
      </c>
    </row>
    <row r="51" spans="1:55" x14ac:dyDescent="0.3">
      <c r="A51" s="13">
        <v>2820</v>
      </c>
      <c r="B51" s="13">
        <v>3008</v>
      </c>
      <c r="C51" s="13">
        <v>1980</v>
      </c>
      <c r="E51" s="15">
        <f t="shared" si="11"/>
        <v>3.5524016043679218E-3</v>
      </c>
      <c r="F51" s="15">
        <f t="shared" si="3"/>
        <v>6.6511475681066141E-4</v>
      </c>
      <c r="G51" s="15">
        <f t="shared" si="4"/>
        <v>-2.0181641562372361E-3</v>
      </c>
      <c r="H51" s="15">
        <f t="shared" si="12"/>
        <v>1.3037745066749222E-3</v>
      </c>
      <c r="J51" s="18">
        <f t="shared" si="5"/>
        <v>114.63508498722105</v>
      </c>
      <c r="K51" s="17">
        <f t="shared" si="6"/>
        <v>121.03004291845495</v>
      </c>
      <c r="L51" s="17">
        <f t="shared" si="7"/>
        <v>103.65265334252237</v>
      </c>
      <c r="M51" s="17">
        <f t="shared" si="8"/>
        <v>111.99095022624437</v>
      </c>
      <c r="BC51" s="65" t="s">
        <v>59</v>
      </c>
    </row>
    <row r="52" spans="1:55" x14ac:dyDescent="0.3">
      <c r="A52" s="13">
        <v>2820</v>
      </c>
      <c r="B52" s="13">
        <v>2950</v>
      </c>
      <c r="C52" s="13">
        <v>1964</v>
      </c>
      <c r="E52" s="15">
        <f t="shared" si="11"/>
        <v>0</v>
      </c>
      <c r="F52" s="15">
        <f t="shared" si="3"/>
        <v>-1.9470235735864882E-2</v>
      </c>
      <c r="G52" s="15">
        <f t="shared" si="4"/>
        <v>-8.1136347741697749E-3</v>
      </c>
      <c r="H52" s="15">
        <f t="shared" si="12"/>
        <v>-6.3281375794239092E-3</v>
      </c>
      <c r="J52" s="18">
        <f t="shared" si="5"/>
        <v>113.91194886361586</v>
      </c>
      <c r="K52" s="17">
        <f t="shared" si="6"/>
        <v>121.03004291845495</v>
      </c>
      <c r="L52" s="17">
        <f t="shared" si="7"/>
        <v>101.65403170227427</v>
      </c>
      <c r="M52" s="17">
        <f t="shared" si="8"/>
        <v>111.08597285067874</v>
      </c>
      <c r="BC52" s="65" t="s">
        <v>60</v>
      </c>
    </row>
    <row r="53" spans="1:55" x14ac:dyDescent="0.3">
      <c r="A53" s="13">
        <v>2800</v>
      </c>
      <c r="B53" s="13">
        <v>2936</v>
      </c>
      <c r="C53" s="13">
        <v>1976</v>
      </c>
      <c r="E53" s="15">
        <f t="shared" si="11"/>
        <v>-7.1174677688639896E-3</v>
      </c>
      <c r="F53" s="15">
        <f t="shared" si="3"/>
        <v>-4.757059599459346E-3</v>
      </c>
      <c r="G53" s="15">
        <f t="shared" si="4"/>
        <v>6.0913893934019126E-3</v>
      </c>
      <c r="H53" s="15">
        <f t="shared" si="12"/>
        <v>-2.68272898630329E-3</v>
      </c>
      <c r="J53" s="18">
        <f t="shared" si="5"/>
        <v>113.60676352432687</v>
      </c>
      <c r="K53" s="17">
        <f t="shared" si="6"/>
        <v>120.17167381974251</v>
      </c>
      <c r="L53" s="17">
        <f t="shared" si="7"/>
        <v>101.17160578911093</v>
      </c>
      <c r="M53" s="17">
        <f t="shared" si="8"/>
        <v>111.76470588235296</v>
      </c>
      <c r="BC53" s="65" t="s">
        <v>61</v>
      </c>
    </row>
    <row r="54" spans="1:55" x14ac:dyDescent="0.3">
      <c r="A54" s="13">
        <v>2800</v>
      </c>
      <c r="B54" s="13">
        <v>2944</v>
      </c>
      <c r="C54" s="13">
        <v>1958</v>
      </c>
      <c r="E54" s="15">
        <f t="shared" si="11"/>
        <v>0</v>
      </c>
      <c r="F54" s="15">
        <f t="shared" si="3"/>
        <v>2.7210901143605863E-3</v>
      </c>
      <c r="G54" s="15">
        <f t="shared" si="4"/>
        <v>-9.1510552173574358E-3</v>
      </c>
      <c r="H54" s="15">
        <f t="shared" si="12"/>
        <v>-2.2010985423351133E-3</v>
      </c>
      <c r="J54" s="18">
        <f t="shared" si="5"/>
        <v>113.35697884392914</v>
      </c>
      <c r="K54" s="17">
        <f t="shared" si="6"/>
        <v>120.17167381974251</v>
      </c>
      <c r="L54" s="17">
        <f t="shared" si="7"/>
        <v>101.44727773948996</v>
      </c>
      <c r="M54" s="17">
        <f t="shared" si="8"/>
        <v>110.74660633484164</v>
      </c>
      <c r="BC54" s="65" t="s">
        <v>62</v>
      </c>
    </row>
    <row r="55" spans="1:55" x14ac:dyDescent="0.3">
      <c r="A55" s="13">
        <v>2810</v>
      </c>
      <c r="B55" s="13">
        <v>2966</v>
      </c>
      <c r="C55" s="13">
        <v>1954</v>
      </c>
      <c r="E55" s="15">
        <f t="shared" si="11"/>
        <v>3.5650661644961446E-3</v>
      </c>
      <c r="F55" s="15">
        <f t="shared" si="3"/>
        <v>7.4450428491105673E-3</v>
      </c>
      <c r="G55" s="15">
        <f t="shared" si="4"/>
        <v>-2.0449904877275966E-3</v>
      </c>
      <c r="H55" s="15">
        <f t="shared" si="12"/>
        <v>2.658044505751907E-3</v>
      </c>
      <c r="J55" s="18">
        <f t="shared" si="5"/>
        <v>113.65868753866707</v>
      </c>
      <c r="K55" s="17">
        <f t="shared" si="6"/>
        <v>120.60085836909873</v>
      </c>
      <c r="L55" s="17">
        <f t="shared" si="7"/>
        <v>102.20537560303235</v>
      </c>
      <c r="M55" s="17">
        <f t="shared" si="8"/>
        <v>110.52036199095025</v>
      </c>
      <c r="BC55" s="65" t="s">
        <v>63</v>
      </c>
    </row>
    <row r="56" spans="1:55" x14ac:dyDescent="0.3">
      <c r="A56" s="13">
        <v>2800</v>
      </c>
      <c r="B56" s="13">
        <v>2950</v>
      </c>
      <c r="C56" s="13">
        <v>1960</v>
      </c>
      <c r="E56" s="15">
        <f t="shared" si="11"/>
        <v>-3.5650661644961459E-3</v>
      </c>
      <c r="F56" s="15">
        <f t="shared" si="3"/>
        <v>-5.4090733640118592E-3</v>
      </c>
      <c r="G56" s="15">
        <f t="shared" si="4"/>
        <v>3.065919621834761E-3</v>
      </c>
      <c r="H56" s="15">
        <f t="shared" si="12"/>
        <v>-1.9445718685000162E-3</v>
      </c>
      <c r="J56" s="18">
        <f t="shared" si="5"/>
        <v>113.43788480523857</v>
      </c>
      <c r="K56" s="17">
        <f t="shared" si="6"/>
        <v>120.17167381974251</v>
      </c>
      <c r="L56" s="17">
        <f t="shared" si="7"/>
        <v>101.65403170227425</v>
      </c>
      <c r="M56" s="17">
        <f t="shared" si="8"/>
        <v>110.85972850678735</v>
      </c>
      <c r="BC56" s="65" t="s">
        <v>64</v>
      </c>
    </row>
    <row r="57" spans="1:55" x14ac:dyDescent="0.3">
      <c r="A57" s="13">
        <v>2780</v>
      </c>
      <c r="B57" s="13">
        <v>2914</v>
      </c>
      <c r="C57" s="13">
        <v>1924</v>
      </c>
      <c r="E57" s="15">
        <f t="shared" si="11"/>
        <v>-7.168489478612516E-3</v>
      </c>
      <c r="F57" s="15">
        <f t="shared" si="3"/>
        <v>-1.2278462578715397E-2</v>
      </c>
      <c r="G57" s="15">
        <f t="shared" si="4"/>
        <v>-1.8538120998911112E-2</v>
      </c>
      <c r="H57" s="15">
        <f t="shared" si="12"/>
        <v>-1.1601373554722672E-2</v>
      </c>
      <c r="J57" s="18">
        <f t="shared" si="5"/>
        <v>112.12945400093365</v>
      </c>
      <c r="K57" s="17">
        <f t="shared" si="6"/>
        <v>119.31330472103006</v>
      </c>
      <c r="L57" s="17">
        <f t="shared" si="7"/>
        <v>100.41350792556852</v>
      </c>
      <c r="M57" s="17">
        <f t="shared" si="8"/>
        <v>108.82352941176472</v>
      </c>
      <c r="BC57" s="65" t="s">
        <v>65</v>
      </c>
    </row>
    <row r="58" spans="1:55" x14ac:dyDescent="0.3">
      <c r="A58" s="13">
        <v>2810</v>
      </c>
      <c r="B58" s="13">
        <v>2934</v>
      </c>
      <c r="C58" s="13">
        <v>1938</v>
      </c>
      <c r="E58" s="15">
        <f t="shared" si="11"/>
        <v>1.0733555643108633E-2</v>
      </c>
      <c r="F58" s="15">
        <f t="shared" si="3"/>
        <v>6.839971947776944E-3</v>
      </c>
      <c r="G58" s="15">
        <f t="shared" si="4"/>
        <v>7.2501612250597701E-3</v>
      </c>
      <c r="H58" s="15">
        <f t="shared" si="12"/>
        <v>8.909820578627636E-3</v>
      </c>
      <c r="J58" s="18">
        <f t="shared" si="5"/>
        <v>113.13297125834913</v>
      </c>
      <c r="K58" s="17">
        <f t="shared" si="6"/>
        <v>120.60085836909873</v>
      </c>
      <c r="L58" s="17">
        <f t="shared" si="7"/>
        <v>101.10268780151615</v>
      </c>
      <c r="M58" s="17">
        <f t="shared" si="8"/>
        <v>109.61538461538464</v>
      </c>
      <c r="BC58" s="65" t="s">
        <v>66</v>
      </c>
    </row>
    <row r="59" spans="1:55" x14ac:dyDescent="0.3">
      <c r="A59" s="13">
        <v>2740</v>
      </c>
      <c r="B59" s="13">
        <v>2890</v>
      </c>
      <c r="C59" s="13">
        <v>1902</v>
      </c>
      <c r="E59" s="15">
        <f t="shared" si="11"/>
        <v>-2.5226562945675574E-2</v>
      </c>
      <c r="F59" s="15">
        <f t="shared" si="3"/>
        <v>-1.5110177596449195E-2</v>
      </c>
      <c r="G59" s="15">
        <f t="shared" si="4"/>
        <v>-1.8750549345375917E-2</v>
      </c>
      <c r="H59" s="15">
        <f t="shared" si="12"/>
        <v>-2.1260481795740402E-2</v>
      </c>
      <c r="J59" s="18">
        <f t="shared" si="5"/>
        <v>110.75309805073547</v>
      </c>
      <c r="K59" s="17">
        <f t="shared" si="6"/>
        <v>117.59656652360516</v>
      </c>
      <c r="L59" s="17">
        <f t="shared" si="7"/>
        <v>99.586492074431391</v>
      </c>
      <c r="M59" s="17">
        <f t="shared" si="8"/>
        <v>107.57918552036202</v>
      </c>
      <c r="BC59" s="65" t="s">
        <v>67</v>
      </c>
    </row>
    <row r="60" spans="1:55" x14ac:dyDescent="0.3">
      <c r="A60" s="13">
        <v>2800</v>
      </c>
      <c r="B60" s="13">
        <v>2888</v>
      </c>
      <c r="C60" s="13">
        <v>1892</v>
      </c>
      <c r="E60" s="15">
        <f t="shared" si="11"/>
        <v>2.1661496781179467E-2</v>
      </c>
      <c r="F60" s="15">
        <f t="shared" si="3"/>
        <v>-6.9228109376100687E-4</v>
      </c>
      <c r="G60" s="15">
        <f t="shared" si="4"/>
        <v>-5.2714934935119955E-3</v>
      </c>
      <c r="H60" s="15">
        <f t="shared" si="12"/>
        <v>9.1108441237839344E-3</v>
      </c>
      <c r="J60" s="18">
        <f t="shared" si="5"/>
        <v>111.76676292281931</v>
      </c>
      <c r="K60" s="17">
        <f t="shared" si="6"/>
        <v>120.17167381974251</v>
      </c>
      <c r="L60" s="17">
        <f t="shared" si="7"/>
        <v>99.517574086836632</v>
      </c>
      <c r="M60" s="17">
        <f t="shared" si="8"/>
        <v>107.01357466063351</v>
      </c>
      <c r="BC60" s="65" t="s">
        <v>68</v>
      </c>
    </row>
    <row r="61" spans="1:55" x14ac:dyDescent="0.3">
      <c r="A61" s="13">
        <v>2800</v>
      </c>
      <c r="B61" s="13">
        <v>2924</v>
      </c>
      <c r="C61" s="13">
        <v>1910</v>
      </c>
      <c r="E61" s="15">
        <f t="shared" si="11"/>
        <v>0</v>
      </c>
      <c r="F61" s="15">
        <f t="shared" si="3"/>
        <v>1.2388320856952266E-2</v>
      </c>
      <c r="G61" s="15">
        <f t="shared" si="4"/>
        <v>9.4687714288519669E-3</v>
      </c>
      <c r="H61" s="15">
        <f t="shared" si="12"/>
        <v>5.318295600046043E-3</v>
      </c>
      <c r="J61" s="18">
        <f t="shared" si="5"/>
        <v>112.36275503264474</v>
      </c>
      <c r="K61" s="17">
        <f t="shared" si="6"/>
        <v>120.17167381974251</v>
      </c>
      <c r="L61" s="17">
        <f t="shared" si="7"/>
        <v>100.75809786354235</v>
      </c>
      <c r="M61" s="17">
        <f t="shared" si="8"/>
        <v>108.03167420814482</v>
      </c>
      <c r="BC61" s="65" t="s">
        <v>69</v>
      </c>
    </row>
    <row r="62" spans="1:55" x14ac:dyDescent="0.3">
      <c r="A62" s="13">
        <v>2770</v>
      </c>
      <c r="B62" s="13">
        <v>2900</v>
      </c>
      <c r="C62" s="13">
        <v>1898</v>
      </c>
      <c r="E62" s="15">
        <f t="shared" si="11"/>
        <v>-1.077209698191107E-2</v>
      </c>
      <c r="F62" s="15">
        <f t="shared" si="3"/>
        <v>-8.2418048951037551E-3</v>
      </c>
      <c r="G62" s="15">
        <f t="shared" si="4"/>
        <v>-6.3025418708024111E-3</v>
      </c>
      <c r="H62" s="15">
        <f t="shared" si="12"/>
        <v>-8.9251720312170102E-3</v>
      </c>
      <c r="J62" s="18">
        <f t="shared" si="5"/>
        <v>111.36436016461364</v>
      </c>
      <c r="K62" s="17">
        <f t="shared" si="6"/>
        <v>118.88412017167384</v>
      </c>
      <c r="L62" s="17">
        <f t="shared" si="7"/>
        <v>99.931082012405199</v>
      </c>
      <c r="M62" s="17">
        <f t="shared" si="8"/>
        <v>107.35294117647061</v>
      </c>
      <c r="BC62" s="65" t="s">
        <v>70</v>
      </c>
    </row>
    <row r="63" spans="1:55" x14ac:dyDescent="0.3">
      <c r="A63" s="13">
        <v>2790</v>
      </c>
      <c r="B63" s="13">
        <v>2880</v>
      </c>
      <c r="C63" s="13">
        <v>1882</v>
      </c>
      <c r="E63" s="15">
        <f t="shared" si="11"/>
        <v>7.1942756340272309E-3</v>
      </c>
      <c r="F63" s="15">
        <f t="shared" si="3"/>
        <v>-6.9204428445737952E-3</v>
      </c>
      <c r="G63" s="15">
        <f t="shared" si="4"/>
        <v>-8.4656590245482388E-3</v>
      </c>
      <c r="H63" s="15">
        <f t="shared" si="12"/>
        <v>-3.2664845926561525E-4</v>
      </c>
      <c r="J63" s="18">
        <f t="shared" si="5"/>
        <v>111.32798910854687</v>
      </c>
      <c r="K63" s="17">
        <f t="shared" si="6"/>
        <v>119.7424892703863</v>
      </c>
      <c r="L63" s="17">
        <f t="shared" si="7"/>
        <v>99.241902136457568</v>
      </c>
      <c r="M63" s="17">
        <f t="shared" si="8"/>
        <v>106.447963800905</v>
      </c>
      <c r="BC63" s="65" t="s">
        <v>71</v>
      </c>
    </row>
    <row r="64" spans="1:55" x14ac:dyDescent="0.3">
      <c r="A64" s="13">
        <v>2750</v>
      </c>
      <c r="B64" s="13">
        <v>2890</v>
      </c>
      <c r="C64" s="13">
        <v>1854</v>
      </c>
      <c r="E64" s="15">
        <f t="shared" si="11"/>
        <v>-1.444068415479436E-2</v>
      </c>
      <c r="F64" s="15">
        <f t="shared" si="3"/>
        <v>3.4662079764863291E-3</v>
      </c>
      <c r="G64" s="15">
        <f t="shared" si="4"/>
        <v>-1.4989574019524499E-2</v>
      </c>
      <c r="H64" s="15">
        <f t="shared" si="12"/>
        <v>-1.1023972687957264E-2</v>
      </c>
      <c r="J64" s="18">
        <f t="shared" si="5"/>
        <v>110.10745233996481</v>
      </c>
      <c r="K64" s="17">
        <f t="shared" si="6"/>
        <v>118.0257510729614</v>
      </c>
      <c r="L64" s="17">
        <f t="shared" si="7"/>
        <v>99.586492074431391</v>
      </c>
      <c r="M64" s="17">
        <f t="shared" si="8"/>
        <v>104.86425339366518</v>
      </c>
      <c r="BC64" s="65" t="s">
        <v>72</v>
      </c>
    </row>
    <row r="65" spans="1:55" x14ac:dyDescent="0.3">
      <c r="A65" s="13">
        <v>2710</v>
      </c>
      <c r="B65" s="13">
        <v>2898</v>
      </c>
      <c r="C65" s="13">
        <v>1870</v>
      </c>
      <c r="E65" s="15">
        <f t="shared" si="11"/>
        <v>-1.4652276786870375E-2</v>
      </c>
      <c r="F65" s="15">
        <f t="shared" si="3"/>
        <v>2.7643417741498857E-3</v>
      </c>
      <c r="G65" s="15">
        <f t="shared" si="4"/>
        <v>8.5929637228318173E-3</v>
      </c>
      <c r="H65" s="15">
        <f t="shared" si="12"/>
        <v>-4.1953809217556651E-3</v>
      </c>
      <c r="J65" s="18">
        <f t="shared" si="5"/>
        <v>109.64647729417429</v>
      </c>
      <c r="K65" s="17">
        <f t="shared" si="6"/>
        <v>116.30901287553651</v>
      </c>
      <c r="L65" s="17">
        <f t="shared" si="7"/>
        <v>99.86216402481044</v>
      </c>
      <c r="M65" s="17">
        <f t="shared" si="8"/>
        <v>105.76923076923079</v>
      </c>
      <c r="BC65" s="65" t="s">
        <v>73</v>
      </c>
    </row>
    <row r="66" spans="1:55" x14ac:dyDescent="0.3">
      <c r="A66" s="13">
        <v>2760</v>
      </c>
      <c r="B66" s="13">
        <v>2908</v>
      </c>
      <c r="C66" s="13">
        <v>1868</v>
      </c>
      <c r="E66" s="15">
        <f t="shared" si="11"/>
        <v>1.8282044837449073E-2</v>
      </c>
      <c r="F66" s="15">
        <f t="shared" si="3"/>
        <v>3.4447157727822172E-3</v>
      </c>
      <c r="G66" s="15">
        <f t="shared" si="4"/>
        <v>-1.0700910598444044E-3</v>
      </c>
      <c r="H66" s="15">
        <f t="shared" si="12"/>
        <v>9.5089382553276581E-3</v>
      </c>
      <c r="J66" s="18">
        <f t="shared" si="5"/>
        <v>110.69407173851863</v>
      </c>
      <c r="K66" s="17">
        <f t="shared" si="6"/>
        <v>118.45493562231762</v>
      </c>
      <c r="L66" s="17">
        <f t="shared" si="7"/>
        <v>100.20675396278425</v>
      </c>
      <c r="M66" s="17">
        <f t="shared" si="8"/>
        <v>105.65610859728508</v>
      </c>
      <c r="BC66" s="65" t="s">
        <v>74</v>
      </c>
    </row>
    <row r="67" spans="1:55" x14ac:dyDescent="0.3">
      <c r="A67" s="13">
        <v>2750</v>
      </c>
      <c r="B67" s="13">
        <v>2850</v>
      </c>
      <c r="C67" s="13">
        <v>1868</v>
      </c>
      <c r="E67" s="15">
        <f t="shared" ref="E67:E98" si="13">LN(A67/A66)</f>
        <v>-3.6297680505787237E-3</v>
      </c>
      <c r="F67" s="15">
        <f t="shared" si="3"/>
        <v>-2.0146565390713744E-2</v>
      </c>
      <c r="G67" s="15">
        <f t="shared" si="4"/>
        <v>0</v>
      </c>
      <c r="H67" s="15">
        <f t="shared" ref="H67:H98" si="14">+SUMPRODUCT(E67:G67,$P$1:$R$1)</f>
        <v>-5.8441971034321107E-3</v>
      </c>
      <c r="J67" s="18">
        <f t="shared" si="5"/>
        <v>110.04904044600286</v>
      </c>
      <c r="K67" s="17">
        <f t="shared" si="6"/>
        <v>118.0257510729614</v>
      </c>
      <c r="L67" s="17">
        <f t="shared" si="7"/>
        <v>98.208132322536144</v>
      </c>
      <c r="M67" s="17">
        <f t="shared" si="8"/>
        <v>105.65610859728508</v>
      </c>
      <c r="BC67" s="65" t="s">
        <v>75</v>
      </c>
    </row>
    <row r="68" spans="1:55" x14ac:dyDescent="0.3">
      <c r="A68" s="13">
        <v>2710</v>
      </c>
      <c r="B68" s="13">
        <v>2812</v>
      </c>
      <c r="C68" s="13">
        <v>1896</v>
      </c>
      <c r="E68" s="15">
        <f t="shared" si="13"/>
        <v>-1.4652276786870375E-2</v>
      </c>
      <c r="F68" s="15">
        <f t="shared" ref="F68:F107" si="15">LN(B68/B67)</f>
        <v>-1.3423020332140661E-2</v>
      </c>
      <c r="G68" s="15">
        <f t="shared" ref="G68:G107" si="16">LN(C68/C67)</f>
        <v>1.4878064026179076E-2</v>
      </c>
      <c r="H68" s="15">
        <f t="shared" si="14"/>
        <v>-5.5473232520095979E-3</v>
      </c>
      <c r="J68" s="18">
        <f t="shared" ref="J68:J107" si="17">+J67*EXP(H68)</f>
        <v>109.44025297669097</v>
      </c>
      <c r="K68" s="17">
        <f t="shared" ref="K68:K107" si="18">+K67*EXP(E68)</f>
        <v>116.30901287553651</v>
      </c>
      <c r="L68" s="17">
        <f t="shared" ref="L68:L107" si="19">+L67*EXP(F68)</f>
        <v>96.898690558235671</v>
      </c>
      <c r="M68" s="17">
        <f t="shared" ref="M68:M107" si="20">+M67*EXP(G68)</f>
        <v>107.23981900452489</v>
      </c>
      <c r="BC68" s="65" t="s">
        <v>76</v>
      </c>
    </row>
    <row r="69" spans="1:55" x14ac:dyDescent="0.3">
      <c r="A69" s="13">
        <v>2700</v>
      </c>
      <c r="B69" s="13">
        <v>2800</v>
      </c>
      <c r="C69" s="13">
        <v>1860</v>
      </c>
      <c r="E69" s="15">
        <f t="shared" si="13"/>
        <v>-3.6968618813260916E-3</v>
      </c>
      <c r="F69" s="15">
        <f t="shared" si="15"/>
        <v>-4.2765567672601937E-3</v>
      </c>
      <c r="G69" s="15">
        <f t="shared" si="16"/>
        <v>-1.9169916107720172E-2</v>
      </c>
      <c r="H69" s="15">
        <f t="shared" si="14"/>
        <v>-8.4547171264311351E-3</v>
      </c>
      <c r="J69" s="18">
        <f t="shared" si="17"/>
        <v>108.51886711250502</v>
      </c>
      <c r="K69" s="17">
        <f t="shared" si="18"/>
        <v>115.87982832618029</v>
      </c>
      <c r="L69" s="17">
        <f t="shared" si="19"/>
        <v>96.485182632667104</v>
      </c>
      <c r="M69" s="17">
        <f t="shared" si="20"/>
        <v>105.20361990950227</v>
      </c>
      <c r="BC69" s="65" t="s">
        <v>77</v>
      </c>
    </row>
    <row r="70" spans="1:55" x14ac:dyDescent="0.3">
      <c r="A70" s="13">
        <v>2700</v>
      </c>
      <c r="B70" s="13">
        <v>2810</v>
      </c>
      <c r="C70" s="13">
        <v>1868</v>
      </c>
      <c r="E70" s="15">
        <f t="shared" si="13"/>
        <v>0</v>
      </c>
      <c r="F70" s="15">
        <f t="shared" si="15"/>
        <v>3.5650661644961446E-3</v>
      </c>
      <c r="G70" s="15">
        <f t="shared" si="16"/>
        <v>4.2918520815410843E-3</v>
      </c>
      <c r="H70" s="15">
        <f t="shared" si="14"/>
        <v>2.0005688573615545E-3</v>
      </c>
      <c r="J70" s="18">
        <f t="shared" si="17"/>
        <v>108.73618388458952</v>
      </c>
      <c r="K70" s="17">
        <f t="shared" si="18"/>
        <v>115.87982832618029</v>
      </c>
      <c r="L70" s="17">
        <f t="shared" si="19"/>
        <v>96.829772570640912</v>
      </c>
      <c r="M70" s="17">
        <f t="shared" si="20"/>
        <v>105.65610859728508</v>
      </c>
      <c r="BC70" s="65" t="s">
        <v>78</v>
      </c>
    </row>
    <row r="71" spans="1:55" x14ac:dyDescent="0.3">
      <c r="A71" s="13">
        <v>2700</v>
      </c>
      <c r="B71" s="13">
        <v>2796</v>
      </c>
      <c r="C71" s="13">
        <v>1852</v>
      </c>
      <c r="E71" s="15">
        <f t="shared" si="13"/>
        <v>0</v>
      </c>
      <c r="F71" s="15">
        <f t="shared" si="15"/>
        <v>-4.9946589740905356E-3</v>
      </c>
      <c r="G71" s="15">
        <f t="shared" si="16"/>
        <v>-8.6022035826631912E-3</v>
      </c>
      <c r="H71" s="15">
        <f t="shared" si="14"/>
        <v>-3.5795928696170645E-3</v>
      </c>
      <c r="J71" s="18">
        <f t="shared" si="17"/>
        <v>108.34764843033206</v>
      </c>
      <c r="K71" s="17">
        <f t="shared" si="18"/>
        <v>115.87982832618029</v>
      </c>
      <c r="L71" s="17">
        <f t="shared" si="19"/>
        <v>96.347346657477587</v>
      </c>
      <c r="M71" s="17">
        <f t="shared" si="20"/>
        <v>104.75113122171948</v>
      </c>
      <c r="BC71" s="65" t="s">
        <v>79</v>
      </c>
    </row>
    <row r="72" spans="1:55" x14ac:dyDescent="0.3">
      <c r="A72" s="13">
        <v>2710</v>
      </c>
      <c r="B72" s="13">
        <v>2772</v>
      </c>
      <c r="C72" s="13">
        <v>1848</v>
      </c>
      <c r="E72" s="15">
        <f t="shared" si="13"/>
        <v>3.6968618813262026E-3</v>
      </c>
      <c r="F72" s="15">
        <f t="shared" si="15"/>
        <v>-8.6207430439069754E-3</v>
      </c>
      <c r="G72" s="15">
        <f t="shared" si="16"/>
        <v>-2.162163004495237E-3</v>
      </c>
      <c r="H72" s="15">
        <f t="shared" si="14"/>
        <v>-5.243665694668649E-4</v>
      </c>
      <c r="J72" s="18">
        <f t="shared" si="17"/>
        <v>108.29084943866251</v>
      </c>
      <c r="K72" s="17">
        <f t="shared" si="18"/>
        <v>116.30901287553652</v>
      </c>
      <c r="L72" s="17">
        <f t="shared" si="19"/>
        <v>95.520330806340439</v>
      </c>
      <c r="M72" s="17">
        <f t="shared" si="20"/>
        <v>104.52488687782807</v>
      </c>
      <c r="BC72" s="65" t="s">
        <v>80</v>
      </c>
    </row>
    <row r="73" spans="1:55" x14ac:dyDescent="0.3">
      <c r="A73" s="13">
        <v>2840</v>
      </c>
      <c r="B73" s="13">
        <v>2720</v>
      </c>
      <c r="C73" s="13">
        <v>1820</v>
      </c>
      <c r="E73" s="15">
        <f t="shared" si="13"/>
        <v>4.6855417281505156E-2</v>
      </c>
      <c r="F73" s="15">
        <f t="shared" si="15"/>
        <v>-1.8937201019750844E-2</v>
      </c>
      <c r="G73" s="15">
        <f t="shared" si="16"/>
        <v>-1.5267472130788421E-2</v>
      </c>
      <c r="H73" s="15">
        <f t="shared" si="14"/>
        <v>1.5060026797565882E-2</v>
      </c>
      <c r="J73" s="18">
        <f t="shared" si="17"/>
        <v>109.93405483472112</v>
      </c>
      <c r="K73" s="17">
        <f t="shared" si="18"/>
        <v>121.88841201716743</v>
      </c>
      <c r="L73" s="17">
        <f t="shared" si="19"/>
        <v>93.728463128876626</v>
      </c>
      <c r="M73" s="17">
        <f t="shared" si="20"/>
        <v>102.94117647058825</v>
      </c>
      <c r="BC73" s="65" t="s">
        <v>81</v>
      </c>
    </row>
    <row r="74" spans="1:55" x14ac:dyDescent="0.3">
      <c r="A74" s="13">
        <v>2770</v>
      </c>
      <c r="B74" s="13">
        <v>2704</v>
      </c>
      <c r="C74" s="13">
        <v>1834</v>
      </c>
      <c r="E74" s="15">
        <f t="shared" si="13"/>
        <v>-2.4956731973867507E-2</v>
      </c>
      <c r="F74" s="15">
        <f t="shared" si="15"/>
        <v>-5.8997221271882708E-3</v>
      </c>
      <c r="G74" s="15">
        <f t="shared" si="16"/>
        <v>7.6628727455690972E-3</v>
      </c>
      <c r="H74" s="15">
        <f t="shared" si="14"/>
        <v>-1.135944858870068E-2</v>
      </c>
      <c r="J74" s="18">
        <f t="shared" si="17"/>
        <v>108.69233059435658</v>
      </c>
      <c r="K74" s="17">
        <f t="shared" si="18"/>
        <v>118.88412017167387</v>
      </c>
      <c r="L74" s="17">
        <f t="shared" si="19"/>
        <v>93.177119228118528</v>
      </c>
      <c r="M74" s="17">
        <f t="shared" si="20"/>
        <v>103.73303167420815</v>
      </c>
      <c r="BC74" s="65" t="s">
        <v>82</v>
      </c>
    </row>
    <row r="75" spans="1:55" x14ac:dyDescent="0.3">
      <c r="A75" s="13">
        <v>2740</v>
      </c>
      <c r="B75" s="13">
        <v>2680</v>
      </c>
      <c r="C75" s="13">
        <v>1802</v>
      </c>
      <c r="E75" s="15">
        <f t="shared" si="13"/>
        <v>-1.0889399799268319E-2</v>
      </c>
      <c r="F75" s="15">
        <f t="shared" si="15"/>
        <v>-8.915363657952393E-3</v>
      </c>
      <c r="G75" s="15">
        <f t="shared" si="16"/>
        <v>-1.7602214648126932E-2</v>
      </c>
      <c r="H75" s="15">
        <f t="shared" si="14"/>
        <v>-1.2508437025662717E-2</v>
      </c>
      <c r="J75" s="18">
        <f t="shared" si="17"/>
        <v>107.34122713442001</v>
      </c>
      <c r="K75" s="17">
        <f t="shared" si="18"/>
        <v>117.59656652360519</v>
      </c>
      <c r="L75" s="17">
        <f t="shared" si="19"/>
        <v>92.35010337698138</v>
      </c>
      <c r="M75" s="17">
        <f t="shared" si="20"/>
        <v>101.92307692307693</v>
      </c>
      <c r="BC75" s="65" t="s">
        <v>83</v>
      </c>
    </row>
    <row r="76" spans="1:55" x14ac:dyDescent="0.3">
      <c r="A76" s="13">
        <v>2770</v>
      </c>
      <c r="B76" s="13">
        <v>2644</v>
      </c>
      <c r="C76" s="13">
        <v>1826</v>
      </c>
      <c r="E76" s="15">
        <f t="shared" si="13"/>
        <v>1.0889399799268317E-2</v>
      </c>
      <c r="F76" s="15">
        <f t="shared" si="15"/>
        <v>-1.352387253332543E-2</v>
      </c>
      <c r="G76" s="15">
        <f t="shared" si="16"/>
        <v>1.3230622986630487E-2</v>
      </c>
      <c r="H76" s="15">
        <f t="shared" si="14"/>
        <v>6.7091122889582182E-3</v>
      </c>
      <c r="J76" s="18">
        <f t="shared" si="17"/>
        <v>108.06381272400102</v>
      </c>
      <c r="K76" s="17">
        <f t="shared" si="18"/>
        <v>118.88412017167387</v>
      </c>
      <c r="L76" s="17">
        <f t="shared" si="19"/>
        <v>91.109579600275666</v>
      </c>
      <c r="M76" s="17">
        <f t="shared" si="20"/>
        <v>103.28054298642535</v>
      </c>
      <c r="BC76" s="65" t="s">
        <v>84</v>
      </c>
    </row>
    <row r="77" spans="1:55" x14ac:dyDescent="0.3">
      <c r="A77" s="13">
        <v>2730</v>
      </c>
      <c r="B77" s="13">
        <v>2740</v>
      </c>
      <c r="C77" s="13">
        <v>1814</v>
      </c>
      <c r="E77" s="15">
        <f t="shared" si="13"/>
        <v>-1.4545711002378751E-2</v>
      </c>
      <c r="F77" s="15">
        <f t="shared" si="15"/>
        <v>3.5664998410538919E-2</v>
      </c>
      <c r="G77" s="15">
        <f t="shared" si="16"/>
        <v>-6.5934304798318452E-3</v>
      </c>
      <c r="H77" s="15">
        <f t="shared" si="14"/>
        <v>-2.1178849630311444E-3</v>
      </c>
      <c r="J77" s="18">
        <f t="shared" si="17"/>
        <v>107.83518818567774</v>
      </c>
      <c r="K77" s="17">
        <f t="shared" si="18"/>
        <v>117.16738197424898</v>
      </c>
      <c r="L77" s="17">
        <f t="shared" si="19"/>
        <v>94.417643004824242</v>
      </c>
      <c r="M77" s="17">
        <f t="shared" si="20"/>
        <v>102.60180995475113</v>
      </c>
      <c r="BC77" s="65" t="s">
        <v>85</v>
      </c>
    </row>
    <row r="78" spans="1:55" x14ac:dyDescent="0.3">
      <c r="A78" s="13">
        <v>2700</v>
      </c>
      <c r="B78" s="13">
        <v>2760</v>
      </c>
      <c r="C78" s="13">
        <v>1804</v>
      </c>
      <c r="E78" s="15">
        <f t="shared" si="13"/>
        <v>-1.1049836186584935E-2</v>
      </c>
      <c r="F78" s="15">
        <f t="shared" si="15"/>
        <v>7.2727593290798781E-3</v>
      </c>
      <c r="G78" s="15">
        <f t="shared" si="16"/>
        <v>-5.5279300525129423E-3</v>
      </c>
      <c r="H78" s="15">
        <f t="shared" si="14"/>
        <v>-5.7287452432303746E-3</v>
      </c>
      <c r="J78" s="18">
        <f t="shared" si="17"/>
        <v>107.21919398589446</v>
      </c>
      <c r="K78" s="17">
        <f t="shared" si="18"/>
        <v>115.87982832618032</v>
      </c>
      <c r="L78" s="17">
        <f t="shared" si="19"/>
        <v>95.106822880771873</v>
      </c>
      <c r="M78" s="17">
        <f t="shared" si="20"/>
        <v>102.03619909502262</v>
      </c>
      <c r="BC78" s="65" t="s">
        <v>86</v>
      </c>
    </row>
    <row r="79" spans="1:55" x14ac:dyDescent="0.3">
      <c r="A79" s="13">
        <v>2700</v>
      </c>
      <c r="B79" s="13">
        <v>2698</v>
      </c>
      <c r="C79" s="13">
        <v>1774</v>
      </c>
      <c r="E79" s="15">
        <f t="shared" si="13"/>
        <v>0</v>
      </c>
      <c r="F79" s="15">
        <f t="shared" si="15"/>
        <v>-2.271992194349455E-2</v>
      </c>
      <c r="G79" s="15">
        <f t="shared" si="16"/>
        <v>-1.6769537753044142E-2</v>
      </c>
      <c r="H79" s="15">
        <f t="shared" si="14"/>
        <v>-9.5748457146121527E-3</v>
      </c>
      <c r="J79" s="18">
        <f t="shared" si="17"/>
        <v>106.1974859001173</v>
      </c>
      <c r="K79" s="17">
        <f t="shared" si="18"/>
        <v>115.87982832618032</v>
      </c>
      <c r="L79" s="17">
        <f t="shared" si="19"/>
        <v>92.970365265334237</v>
      </c>
      <c r="M79" s="17">
        <f t="shared" si="20"/>
        <v>100.33936651583711</v>
      </c>
      <c r="BC79" s="65" t="s">
        <v>87</v>
      </c>
    </row>
    <row r="80" spans="1:55" x14ac:dyDescent="0.3">
      <c r="A80" s="13">
        <v>2670</v>
      </c>
      <c r="B80" s="13">
        <v>2750</v>
      </c>
      <c r="C80" s="13">
        <v>1810</v>
      </c>
      <c r="E80" s="15">
        <f t="shared" si="13"/>
        <v>-1.1173300598125189E-2</v>
      </c>
      <c r="F80" s="15">
        <f t="shared" si="15"/>
        <v>1.9090153892915875E-2</v>
      </c>
      <c r="G80" s="15">
        <f t="shared" si="16"/>
        <v>2.0089961390346543E-2</v>
      </c>
      <c r="H80" s="15">
        <f t="shared" si="14"/>
        <v>4.2583688966245439E-3</v>
      </c>
      <c r="J80" s="18">
        <f t="shared" si="17"/>
        <v>106.65067821616772</v>
      </c>
      <c r="K80" s="17">
        <f t="shared" si="18"/>
        <v>114.59227467811165</v>
      </c>
      <c r="L80" s="17">
        <f t="shared" si="19"/>
        <v>94.762232942798065</v>
      </c>
      <c r="M80" s="17">
        <f t="shared" si="20"/>
        <v>102.37556561085972</v>
      </c>
      <c r="BC80" s="65" t="s">
        <v>88</v>
      </c>
    </row>
    <row r="81" spans="1:55" x14ac:dyDescent="0.3">
      <c r="A81" s="13">
        <v>2670</v>
      </c>
      <c r="B81" s="13">
        <v>2774</v>
      </c>
      <c r="C81" s="13">
        <v>1820</v>
      </c>
      <c r="E81" s="15">
        <f t="shared" si="13"/>
        <v>0</v>
      </c>
      <c r="F81" s="15">
        <f t="shared" si="15"/>
        <v>8.6894102141598893E-3</v>
      </c>
      <c r="G81" s="15">
        <f t="shared" si="16"/>
        <v>5.5096558109696998E-3</v>
      </c>
      <c r="H81" s="15">
        <f t="shared" si="14"/>
        <v>3.3907787861228878E-3</v>
      </c>
      <c r="J81" s="18">
        <f t="shared" si="17"/>
        <v>107.01292086866941</v>
      </c>
      <c r="K81" s="17">
        <f t="shared" si="18"/>
        <v>114.59227467811165</v>
      </c>
      <c r="L81" s="17">
        <f t="shared" si="19"/>
        <v>95.589248793935212</v>
      </c>
      <c r="M81" s="17">
        <f t="shared" si="20"/>
        <v>102.94117647058825</v>
      </c>
      <c r="BC81" s="65" t="s">
        <v>89</v>
      </c>
    </row>
    <row r="82" spans="1:55" x14ac:dyDescent="0.3">
      <c r="A82" s="13">
        <v>2680</v>
      </c>
      <c r="B82" s="13">
        <v>2770</v>
      </c>
      <c r="C82" s="13">
        <v>1852</v>
      </c>
      <c r="E82" s="15">
        <f t="shared" si="13"/>
        <v>3.7383221106071581E-3</v>
      </c>
      <c r="F82" s="15">
        <f t="shared" si="15"/>
        <v>-1.4430016933927145E-3</v>
      </c>
      <c r="G82" s="15">
        <f t="shared" si="16"/>
        <v>1.7429635135283596E-2</v>
      </c>
      <c r="H82" s="15">
        <f t="shared" si="14"/>
        <v>6.8094512572101145E-3</v>
      </c>
      <c r="J82" s="18">
        <f t="shared" si="17"/>
        <v>107.74410679935535</v>
      </c>
      <c r="K82" s="17">
        <f t="shared" si="18"/>
        <v>115.02145922746787</v>
      </c>
      <c r="L82" s="17">
        <f t="shared" si="19"/>
        <v>95.451412818745695</v>
      </c>
      <c r="M82" s="17">
        <f t="shared" si="20"/>
        <v>104.75113122171946</v>
      </c>
      <c r="BC82" s="65" t="s">
        <v>90</v>
      </c>
    </row>
    <row r="83" spans="1:55" x14ac:dyDescent="0.3">
      <c r="A83" s="13">
        <v>2680</v>
      </c>
      <c r="B83" s="13">
        <v>2754</v>
      </c>
      <c r="C83" s="13">
        <v>1820</v>
      </c>
      <c r="E83" s="15">
        <f t="shared" si="13"/>
        <v>0</v>
      </c>
      <c r="F83" s="15">
        <f t="shared" si="15"/>
        <v>-5.7929198927839992E-3</v>
      </c>
      <c r="G83" s="15">
        <f t="shared" si="16"/>
        <v>-1.7429635135283648E-2</v>
      </c>
      <c r="H83" s="15">
        <f t="shared" si="14"/>
        <v>-6.3874745191418942E-3</v>
      </c>
      <c r="J83" s="18">
        <f t="shared" si="17"/>
        <v>107.05808736088304</v>
      </c>
      <c r="K83" s="17">
        <f t="shared" si="18"/>
        <v>115.02145922746787</v>
      </c>
      <c r="L83" s="17">
        <f t="shared" si="19"/>
        <v>94.900068917987596</v>
      </c>
      <c r="M83" s="17">
        <f t="shared" si="20"/>
        <v>102.94117647058825</v>
      </c>
      <c r="BC83" s="65" t="s">
        <v>91</v>
      </c>
    </row>
    <row r="84" spans="1:55" x14ac:dyDescent="0.3">
      <c r="A84" s="13">
        <v>2680</v>
      </c>
      <c r="B84" s="13">
        <v>2780</v>
      </c>
      <c r="C84" s="13">
        <v>1802</v>
      </c>
      <c r="E84" s="15">
        <f t="shared" si="13"/>
        <v>0</v>
      </c>
      <c r="F84" s="15">
        <f t="shared" si="15"/>
        <v>9.3965273960826112E-3</v>
      </c>
      <c r="G84" s="15">
        <f t="shared" si="16"/>
        <v>-9.9393419025577759E-3</v>
      </c>
      <c r="H84" s="15">
        <f t="shared" si="14"/>
        <v>-1.1024970915508104E-3</v>
      </c>
      <c r="J84" s="18">
        <f t="shared" si="17"/>
        <v>106.94012117157996</v>
      </c>
      <c r="K84" s="17">
        <f t="shared" si="18"/>
        <v>115.02145922746787</v>
      </c>
      <c r="L84" s="17">
        <f t="shared" si="19"/>
        <v>95.796002756719503</v>
      </c>
      <c r="M84" s="17">
        <f t="shared" si="20"/>
        <v>101.92307692307693</v>
      </c>
      <c r="BC84" s="65" t="s">
        <v>92</v>
      </c>
    </row>
    <row r="85" spans="1:55" x14ac:dyDescent="0.3">
      <c r="A85" s="13">
        <v>2700</v>
      </c>
      <c r="B85" s="13">
        <v>2764</v>
      </c>
      <c r="C85" s="13">
        <v>1800</v>
      </c>
      <c r="E85" s="15">
        <f t="shared" si="13"/>
        <v>7.4349784875179905E-3</v>
      </c>
      <c r="F85" s="15">
        <f t="shared" si="15"/>
        <v>-5.7720217971222888E-3</v>
      </c>
      <c r="G85" s="15">
        <f t="shared" si="16"/>
        <v>-1.1104942840271764E-3</v>
      </c>
      <c r="H85" s="15">
        <f t="shared" si="14"/>
        <v>2.2299365991263844E-3</v>
      </c>
      <c r="J85" s="18">
        <f t="shared" si="17"/>
        <v>107.17885694558701</v>
      </c>
      <c r="K85" s="17">
        <f t="shared" si="18"/>
        <v>115.8798283261803</v>
      </c>
      <c r="L85" s="17">
        <f t="shared" si="19"/>
        <v>95.244658855961404</v>
      </c>
      <c r="M85" s="17">
        <f t="shared" si="20"/>
        <v>101.80995475113123</v>
      </c>
      <c r="BC85" s="65" t="s">
        <v>93</v>
      </c>
    </row>
    <row r="86" spans="1:55" x14ac:dyDescent="0.3">
      <c r="A86" s="13">
        <v>2660</v>
      </c>
      <c r="B86" s="13">
        <v>2754</v>
      </c>
      <c r="C86" s="13">
        <v>1772</v>
      </c>
      <c r="E86" s="15">
        <f t="shared" si="13"/>
        <v>-1.4925650216675706E-2</v>
      </c>
      <c r="F86" s="15">
        <f t="shared" si="15"/>
        <v>-3.6245055989603601E-3</v>
      </c>
      <c r="G86" s="15">
        <f t="shared" si="16"/>
        <v>-1.5677812719229793E-2</v>
      </c>
      <c r="H86" s="15">
        <f t="shared" si="14"/>
        <v>-1.2891070043898861E-2</v>
      </c>
      <c r="J86" s="18">
        <f t="shared" si="17"/>
        <v>105.80607412389681</v>
      </c>
      <c r="K86" s="17">
        <f t="shared" si="18"/>
        <v>114.1630901287554</v>
      </c>
      <c r="L86" s="17">
        <f t="shared" si="19"/>
        <v>94.900068917987596</v>
      </c>
      <c r="M86" s="17">
        <f t="shared" si="20"/>
        <v>100.22624434389141</v>
      </c>
      <c r="BC86" s="65" t="s">
        <v>94</v>
      </c>
    </row>
    <row r="87" spans="1:55" x14ac:dyDescent="0.3">
      <c r="A87" s="13">
        <v>2660</v>
      </c>
      <c r="B87" s="13">
        <v>2770</v>
      </c>
      <c r="C87" s="13">
        <v>1800</v>
      </c>
      <c r="E87" s="15">
        <f t="shared" si="13"/>
        <v>0</v>
      </c>
      <c r="F87" s="15">
        <f t="shared" si="15"/>
        <v>5.7929198927841059E-3</v>
      </c>
      <c r="G87" s="15">
        <f t="shared" si="16"/>
        <v>1.567781271922979E-2</v>
      </c>
      <c r="H87" s="15">
        <f t="shared" si="14"/>
        <v>5.8619277943257574E-3</v>
      </c>
      <c r="J87" s="18">
        <f t="shared" si="17"/>
        <v>106.42812311249351</v>
      </c>
      <c r="K87" s="17">
        <f t="shared" si="18"/>
        <v>114.1630901287554</v>
      </c>
      <c r="L87" s="17">
        <f t="shared" si="19"/>
        <v>95.451412818745695</v>
      </c>
      <c r="M87" s="17">
        <f t="shared" si="20"/>
        <v>101.80995475113123</v>
      </c>
      <c r="BC87" s="65" t="s">
        <v>95</v>
      </c>
    </row>
    <row r="88" spans="1:55" x14ac:dyDescent="0.3">
      <c r="A88" s="13">
        <v>2660</v>
      </c>
      <c r="B88" s="13">
        <v>2794</v>
      </c>
      <c r="C88" s="13">
        <v>1794</v>
      </c>
      <c r="E88" s="15">
        <f t="shared" si="13"/>
        <v>0</v>
      </c>
      <c r="F88" s="15">
        <f t="shared" si="15"/>
        <v>8.626940635522844E-3</v>
      </c>
      <c r="G88" s="15">
        <f t="shared" si="16"/>
        <v>-3.3389012655145986E-3</v>
      </c>
      <c r="H88" s="15">
        <f t="shared" si="14"/>
        <v>7.2371774745018922E-4</v>
      </c>
      <c r="J88" s="18">
        <f t="shared" si="17"/>
        <v>106.50517491253231</v>
      </c>
      <c r="K88" s="17">
        <f t="shared" si="18"/>
        <v>114.1630901287554</v>
      </c>
      <c r="L88" s="17">
        <f t="shared" si="19"/>
        <v>96.278428669882828</v>
      </c>
      <c r="M88" s="17">
        <f t="shared" si="20"/>
        <v>101.47058823529413</v>
      </c>
      <c r="BC88" s="65" t="s">
        <v>96</v>
      </c>
    </row>
    <row r="89" spans="1:55" x14ac:dyDescent="0.3">
      <c r="A89" s="13">
        <v>2680</v>
      </c>
      <c r="B89" s="13">
        <v>2746</v>
      </c>
      <c r="C89" s="13">
        <v>1804</v>
      </c>
      <c r="E89" s="15">
        <f t="shared" si="13"/>
        <v>7.4906717291576587E-3</v>
      </c>
      <c r="F89" s="15">
        <f t="shared" si="15"/>
        <v>-1.7328953488990727E-2</v>
      </c>
      <c r="G89" s="15">
        <f t="shared" si="16"/>
        <v>5.558658003827462E-3</v>
      </c>
      <c r="H89" s="15">
        <f t="shared" si="14"/>
        <v>1.9471425679289224E-3</v>
      </c>
      <c r="J89" s="18">
        <f t="shared" si="17"/>
        <v>106.71275770336827</v>
      </c>
      <c r="K89" s="17">
        <f t="shared" si="18"/>
        <v>115.02145922746786</v>
      </c>
      <c r="L89" s="17">
        <f t="shared" si="19"/>
        <v>94.624396967608533</v>
      </c>
      <c r="M89" s="17">
        <f t="shared" si="20"/>
        <v>102.03619909502262</v>
      </c>
      <c r="BC89" s="65" t="s">
        <v>97</v>
      </c>
    </row>
    <row r="90" spans="1:55" x14ac:dyDescent="0.3">
      <c r="A90" s="13">
        <v>2630</v>
      </c>
      <c r="B90" s="13">
        <v>2750</v>
      </c>
      <c r="C90" s="13">
        <v>1810</v>
      </c>
      <c r="E90" s="15">
        <f t="shared" si="13"/>
        <v>-1.8832948333092125E-2</v>
      </c>
      <c r="F90" s="15">
        <f t="shared" si="15"/>
        <v>1.4556043327005853E-3</v>
      </c>
      <c r="G90" s="15">
        <f t="shared" si="16"/>
        <v>3.3204236373025474E-3</v>
      </c>
      <c r="H90" s="15">
        <f t="shared" si="14"/>
        <v>-8.129226208815182E-3</v>
      </c>
      <c r="J90" s="18">
        <f t="shared" si="17"/>
        <v>105.84878204136048</v>
      </c>
      <c r="K90" s="17">
        <f t="shared" si="18"/>
        <v>112.87553648068675</v>
      </c>
      <c r="L90" s="17">
        <f t="shared" si="19"/>
        <v>94.76223294279805</v>
      </c>
      <c r="M90" s="17">
        <f t="shared" si="20"/>
        <v>102.37556561085974</v>
      </c>
      <c r="BC90" s="65" t="s">
        <v>98</v>
      </c>
    </row>
    <row r="91" spans="1:55" x14ac:dyDescent="0.3">
      <c r="A91" s="13">
        <v>2620</v>
      </c>
      <c r="B91" s="13">
        <v>2758</v>
      </c>
      <c r="C91" s="13">
        <v>1800</v>
      </c>
      <c r="E91" s="15">
        <f t="shared" si="13"/>
        <v>-3.8095284166677302E-3</v>
      </c>
      <c r="F91" s="15">
        <f t="shared" si="15"/>
        <v>2.9048676926302069E-3</v>
      </c>
      <c r="G91" s="15">
        <f t="shared" si="16"/>
        <v>-5.5401803756153561E-3</v>
      </c>
      <c r="H91" s="15">
        <f t="shared" si="14"/>
        <v>-2.9858447824924307E-3</v>
      </c>
      <c r="J91" s="18">
        <f t="shared" si="17"/>
        <v>105.53320537369663</v>
      </c>
      <c r="K91" s="17">
        <f t="shared" si="18"/>
        <v>112.44635193133053</v>
      </c>
      <c r="L91" s="17">
        <f t="shared" si="19"/>
        <v>95.0379048931771</v>
      </c>
      <c r="M91" s="17">
        <f t="shared" si="20"/>
        <v>101.80995475113123</v>
      </c>
      <c r="BC91" s="65" t="s">
        <v>99</v>
      </c>
    </row>
    <row r="92" spans="1:55" x14ac:dyDescent="0.3">
      <c r="A92" s="13">
        <v>2640</v>
      </c>
      <c r="B92" s="13">
        <v>2744</v>
      </c>
      <c r="C92" s="13">
        <v>1786</v>
      </c>
      <c r="E92" s="15">
        <f t="shared" si="13"/>
        <v>7.6045993852192125E-3</v>
      </c>
      <c r="F92" s="15">
        <f t="shared" si="15"/>
        <v>-5.0890695074712932E-3</v>
      </c>
      <c r="G92" s="15">
        <f t="shared" si="16"/>
        <v>-7.8081824478116986E-3</v>
      </c>
      <c r="H92" s="15">
        <f t="shared" si="14"/>
        <v>4.4203105677183795E-4</v>
      </c>
      <c r="J92" s="18">
        <f t="shared" si="17"/>
        <v>105.57986463965507</v>
      </c>
      <c r="K92" s="17">
        <f t="shared" si="18"/>
        <v>113.30472103004296</v>
      </c>
      <c r="L92" s="17">
        <f t="shared" si="19"/>
        <v>94.55547898001376</v>
      </c>
      <c r="M92" s="17">
        <f t="shared" si="20"/>
        <v>101.01809954751133</v>
      </c>
      <c r="BC92" s="65" t="s">
        <v>100</v>
      </c>
    </row>
    <row r="93" spans="1:55" x14ac:dyDescent="0.3">
      <c r="A93" s="13">
        <v>2650</v>
      </c>
      <c r="B93" s="13">
        <v>2770</v>
      </c>
      <c r="C93" s="13">
        <v>1772</v>
      </c>
      <c r="E93" s="15">
        <f t="shared" si="13"/>
        <v>3.7807228399061523E-3</v>
      </c>
      <c r="F93" s="15">
        <f t="shared" si="15"/>
        <v>9.4306103356084376E-3</v>
      </c>
      <c r="G93" s="15">
        <f t="shared" si="16"/>
        <v>-7.869630271418104E-3</v>
      </c>
      <c r="H93" s="15">
        <f t="shared" si="14"/>
        <v>1.4155944056493328E-3</v>
      </c>
      <c r="J93" s="18">
        <f t="shared" si="17"/>
        <v>105.72942874146503</v>
      </c>
      <c r="K93" s="17">
        <f t="shared" si="18"/>
        <v>113.73390557939919</v>
      </c>
      <c r="L93" s="17">
        <f t="shared" si="19"/>
        <v>95.451412818745681</v>
      </c>
      <c r="M93" s="17">
        <f t="shared" si="20"/>
        <v>100.22624434389142</v>
      </c>
      <c r="BC93" s="65" t="s">
        <v>101</v>
      </c>
    </row>
    <row r="94" spans="1:55" x14ac:dyDescent="0.3">
      <c r="A94" s="13">
        <v>2700</v>
      </c>
      <c r="B94" s="13">
        <v>2738</v>
      </c>
      <c r="C94" s="13">
        <v>1760</v>
      </c>
      <c r="E94" s="15">
        <f t="shared" si="13"/>
        <v>1.8692133012152546E-2</v>
      </c>
      <c r="F94" s="15">
        <f t="shared" si="15"/>
        <v>-1.1619593332990039E-2</v>
      </c>
      <c r="G94" s="15">
        <f t="shared" si="16"/>
        <v>-6.7950431328288015E-3</v>
      </c>
      <c r="H94" s="15">
        <f t="shared" si="14"/>
        <v>4.9836348996296249E-3</v>
      </c>
      <c r="J94" s="18">
        <f t="shared" si="17"/>
        <v>106.25766077697159</v>
      </c>
      <c r="K94" s="17">
        <f t="shared" si="18"/>
        <v>115.8798283261803</v>
      </c>
      <c r="L94" s="17">
        <f t="shared" si="19"/>
        <v>94.348725017229484</v>
      </c>
      <c r="M94" s="17">
        <f t="shared" si="20"/>
        <v>99.54751131221721</v>
      </c>
      <c r="BC94" s="65" t="s">
        <v>102</v>
      </c>
    </row>
    <row r="95" spans="1:55" x14ac:dyDescent="0.3">
      <c r="A95" s="13">
        <v>2660</v>
      </c>
      <c r="B95" s="13">
        <v>2756</v>
      </c>
      <c r="C95" s="13">
        <v>1796</v>
      </c>
      <c r="E95" s="15">
        <f t="shared" si="13"/>
        <v>-1.4925650216675706E-2</v>
      </c>
      <c r="F95" s="15">
        <f t="shared" si="15"/>
        <v>6.5526262851549836E-3</v>
      </c>
      <c r="G95" s="15">
        <f t="shared" si="16"/>
        <v>2.0248160829947494E-2</v>
      </c>
      <c r="H95" s="15">
        <f t="shared" si="14"/>
        <v>-7.7851602322607898E-5</v>
      </c>
      <c r="J95" s="18">
        <f t="shared" si="17"/>
        <v>106.24938876981973</v>
      </c>
      <c r="K95" s="17">
        <f t="shared" si="18"/>
        <v>114.1630901287554</v>
      </c>
      <c r="L95" s="17">
        <f t="shared" si="19"/>
        <v>94.968986905582341</v>
      </c>
      <c r="M95" s="17">
        <f t="shared" si="20"/>
        <v>101.58371040723983</v>
      </c>
      <c r="BC95" s="65" t="s">
        <v>103</v>
      </c>
    </row>
    <row r="96" spans="1:55" x14ac:dyDescent="0.3">
      <c r="A96" s="13">
        <v>2650</v>
      </c>
      <c r="B96" s="13">
        <v>2816</v>
      </c>
      <c r="C96" s="13">
        <v>1780</v>
      </c>
      <c r="E96" s="15">
        <f t="shared" si="13"/>
        <v>-3.7664827954768934E-3</v>
      </c>
      <c r="F96" s="15">
        <f t="shared" si="15"/>
        <v>2.1537085144383759E-2</v>
      </c>
      <c r="G96" s="15">
        <f t="shared" si="16"/>
        <v>-8.9486055760140334E-3</v>
      </c>
      <c r="H96" s="15">
        <f t="shared" si="14"/>
        <v>-2.6040604166590502E-4</v>
      </c>
      <c r="J96" s="18">
        <f t="shared" si="17"/>
        <v>106.221724389203</v>
      </c>
      <c r="K96" s="17">
        <f t="shared" si="18"/>
        <v>113.73390557939918</v>
      </c>
      <c r="L96" s="17">
        <f t="shared" si="19"/>
        <v>97.036526533425203</v>
      </c>
      <c r="M96" s="17">
        <f t="shared" si="20"/>
        <v>100.67873303167423</v>
      </c>
      <c r="BC96" s="65" t="s">
        <v>104</v>
      </c>
    </row>
    <row r="97" spans="1:55" x14ac:dyDescent="0.3">
      <c r="A97" s="13">
        <v>2650</v>
      </c>
      <c r="B97" s="13">
        <v>2938</v>
      </c>
      <c r="C97" s="13">
        <v>1802</v>
      </c>
      <c r="E97" s="15">
        <f t="shared" si="13"/>
        <v>0</v>
      </c>
      <c r="F97" s="15">
        <f t="shared" si="15"/>
        <v>4.2411639455889501E-2</v>
      </c>
      <c r="G97" s="15">
        <f t="shared" si="16"/>
        <v>1.2283794882152355E-2</v>
      </c>
      <c r="H97" s="15">
        <f t="shared" si="14"/>
        <v>1.2167466355823607E-2</v>
      </c>
      <c r="J97" s="18">
        <f t="shared" si="17"/>
        <v>107.52206855123025</v>
      </c>
      <c r="K97" s="17">
        <f t="shared" si="18"/>
        <v>113.73390557939918</v>
      </c>
      <c r="L97" s="17">
        <f t="shared" si="19"/>
        <v>101.24052377670569</v>
      </c>
      <c r="M97" s="17">
        <f t="shared" si="20"/>
        <v>101.92307692307693</v>
      </c>
      <c r="BC97" s="65" t="s">
        <v>105</v>
      </c>
    </row>
    <row r="98" spans="1:55" x14ac:dyDescent="0.3">
      <c r="A98" s="13">
        <v>2700</v>
      </c>
      <c r="B98" s="13">
        <v>3014</v>
      </c>
      <c r="C98" s="13">
        <v>1800</v>
      </c>
      <c r="E98" s="15">
        <f t="shared" si="13"/>
        <v>1.8692133012152546E-2</v>
      </c>
      <c r="F98" s="15">
        <f t="shared" si="15"/>
        <v>2.553902245261826E-2</v>
      </c>
      <c r="G98" s="15">
        <f t="shared" si="16"/>
        <v>-1.1104942840271764E-3</v>
      </c>
      <c r="H98" s="15">
        <f t="shared" si="14"/>
        <v>1.4120722711391772E-2</v>
      </c>
      <c r="J98" s="18">
        <f t="shared" si="17"/>
        <v>109.05112817293278</v>
      </c>
      <c r="K98" s="17">
        <f t="shared" si="18"/>
        <v>115.87982832618029</v>
      </c>
      <c r="L98" s="17">
        <f t="shared" si="19"/>
        <v>103.85940730530666</v>
      </c>
      <c r="M98" s="17">
        <f t="shared" si="20"/>
        <v>101.80995475113123</v>
      </c>
      <c r="BC98" s="65" t="s">
        <v>106</v>
      </c>
    </row>
    <row r="99" spans="1:55" x14ac:dyDescent="0.3">
      <c r="A99" s="13">
        <v>2730</v>
      </c>
      <c r="B99" s="13">
        <v>2996</v>
      </c>
      <c r="C99" s="13">
        <v>1780</v>
      </c>
      <c r="E99" s="15">
        <f t="shared" ref="E99:E108" si="21">LN(A99/A98)</f>
        <v>1.1049836186584935E-2</v>
      </c>
      <c r="F99" s="15">
        <f t="shared" si="15"/>
        <v>-5.9900345493306747E-3</v>
      </c>
      <c r="G99" s="15">
        <f t="shared" si="16"/>
        <v>-1.1173300598125189E-2</v>
      </c>
      <c r="H99" s="15">
        <f t="shared" ref="H99:H108" si="22">+SUMPRODUCT(E99:G99,$P$1:$R$1)</f>
        <v>9.7492100398877601E-4</v>
      </c>
      <c r="J99" s="18">
        <f t="shared" si="17"/>
        <v>109.15749625010855</v>
      </c>
      <c r="K99" s="17">
        <f t="shared" si="18"/>
        <v>117.16738197424895</v>
      </c>
      <c r="L99" s="17">
        <f t="shared" si="19"/>
        <v>103.2391454169538</v>
      </c>
      <c r="M99" s="17">
        <f t="shared" si="20"/>
        <v>100.67873303167421</v>
      </c>
      <c r="BC99" s="65" t="s">
        <v>107</v>
      </c>
    </row>
    <row r="100" spans="1:55" x14ac:dyDescent="0.3">
      <c r="A100" s="13">
        <v>2800</v>
      </c>
      <c r="B100" s="13">
        <v>2960</v>
      </c>
      <c r="C100" s="13">
        <v>1764</v>
      </c>
      <c r="E100" s="15">
        <f t="shared" si="21"/>
        <v>2.5317807984289786E-2</v>
      </c>
      <c r="F100" s="15">
        <f t="shared" si="15"/>
        <v>-1.2088797319004073E-2</v>
      </c>
      <c r="G100" s="15">
        <f t="shared" si="16"/>
        <v>-9.0294067193942649E-3</v>
      </c>
      <c r="H100" s="15">
        <f t="shared" si="22"/>
        <v>7.532322512525798E-3</v>
      </c>
      <c r="J100" s="18">
        <f t="shared" si="17"/>
        <v>109.98281007942039</v>
      </c>
      <c r="K100" s="17">
        <f t="shared" si="18"/>
        <v>120.17167381974251</v>
      </c>
      <c r="L100" s="17">
        <f t="shared" si="19"/>
        <v>101.99862164024807</v>
      </c>
      <c r="M100" s="17">
        <f t="shared" si="20"/>
        <v>99.773755656108591</v>
      </c>
      <c r="BC100" s="65" t="s">
        <v>108</v>
      </c>
    </row>
    <row r="101" spans="1:55" x14ac:dyDescent="0.3">
      <c r="A101" s="13">
        <v>2730</v>
      </c>
      <c r="B101" s="13">
        <v>2914</v>
      </c>
      <c r="C101" s="13">
        <v>1760</v>
      </c>
      <c r="E101" s="15">
        <f t="shared" si="21"/>
        <v>-2.5317807984289897E-2</v>
      </c>
      <c r="F101" s="15">
        <f t="shared" si="15"/>
        <v>-1.5662560562955924E-2</v>
      </c>
      <c r="G101" s="15">
        <f t="shared" si="16"/>
        <v>-2.2701485345391855E-3</v>
      </c>
      <c r="H101" s="15">
        <f t="shared" si="22"/>
        <v>-1.6472460665097888E-2</v>
      </c>
      <c r="J101" s="18">
        <f t="shared" si="17"/>
        <v>108.18596244734994</v>
      </c>
      <c r="K101" s="17">
        <f t="shared" si="18"/>
        <v>117.16738197424894</v>
      </c>
      <c r="L101" s="17">
        <f t="shared" si="19"/>
        <v>100.41350792556854</v>
      </c>
      <c r="M101" s="17">
        <f t="shared" si="20"/>
        <v>99.547511312217182</v>
      </c>
      <c r="BC101" s="65" t="s">
        <v>109</v>
      </c>
    </row>
    <row r="102" spans="1:55" x14ac:dyDescent="0.3">
      <c r="A102" s="13">
        <v>2720</v>
      </c>
      <c r="B102" s="13">
        <v>2920</v>
      </c>
      <c r="C102" s="13">
        <v>1760</v>
      </c>
      <c r="E102" s="15">
        <f t="shared" si="21"/>
        <v>-3.6697288889624017E-3</v>
      </c>
      <c r="F102" s="15">
        <f t="shared" si="15"/>
        <v>2.0569085071773965E-3</v>
      </c>
      <c r="G102" s="15">
        <f t="shared" si="16"/>
        <v>0</v>
      </c>
      <c r="H102" s="15">
        <f t="shared" si="22"/>
        <v>-1.4234827430457215E-3</v>
      </c>
      <c r="J102" s="18">
        <f t="shared" si="17"/>
        <v>108.03207115355272</v>
      </c>
      <c r="K102" s="17">
        <f t="shared" si="18"/>
        <v>116.73819742489272</v>
      </c>
      <c r="L102" s="17">
        <f t="shared" si="19"/>
        <v>100.62026188835283</v>
      </c>
      <c r="M102" s="17">
        <f t="shared" si="20"/>
        <v>99.547511312217182</v>
      </c>
      <c r="BC102" s="65" t="s">
        <v>110</v>
      </c>
    </row>
    <row r="103" spans="1:55" x14ac:dyDescent="0.3">
      <c r="A103" s="13">
        <v>2740</v>
      </c>
      <c r="B103" s="13">
        <v>2890</v>
      </c>
      <c r="C103" s="13">
        <v>1762</v>
      </c>
      <c r="E103" s="15">
        <f t="shared" si="21"/>
        <v>7.3260400920728812E-3</v>
      </c>
      <c r="F103" s="15">
        <f t="shared" si="15"/>
        <v>-1.0327114155849628E-2</v>
      </c>
      <c r="G103" s="15">
        <f t="shared" si="16"/>
        <v>1.1357184639274286E-3</v>
      </c>
      <c r="H103" s="15">
        <f t="shared" si="22"/>
        <v>1.9383127540447435E-3</v>
      </c>
      <c r="J103" s="18">
        <f t="shared" si="17"/>
        <v>108.24167416738882</v>
      </c>
      <c r="K103" s="17">
        <f t="shared" si="18"/>
        <v>117.59656652360516</v>
      </c>
      <c r="L103" s="17">
        <f t="shared" si="19"/>
        <v>99.586492074431391</v>
      </c>
      <c r="M103" s="17">
        <f t="shared" si="20"/>
        <v>99.660633484162886</v>
      </c>
      <c r="BC103" s="65" t="s">
        <v>111</v>
      </c>
    </row>
    <row r="104" spans="1:55" x14ac:dyDescent="0.3">
      <c r="A104" s="13">
        <v>2700</v>
      </c>
      <c r="B104" s="13">
        <v>2904</v>
      </c>
      <c r="C104" s="13">
        <v>1790</v>
      </c>
      <c r="E104" s="15">
        <f t="shared" si="21"/>
        <v>-1.4706147389695449E-2</v>
      </c>
      <c r="F104" s="15">
        <f t="shared" si="15"/>
        <v>4.8325948382089371E-3</v>
      </c>
      <c r="G104" s="15">
        <f t="shared" si="16"/>
        <v>1.5766092338675809E-2</v>
      </c>
      <c r="H104" s="15">
        <f t="shared" si="22"/>
        <v>-1.6567270256031942E-3</v>
      </c>
      <c r="J104" s="18">
        <f t="shared" si="17"/>
        <v>108.06249572636526</v>
      </c>
      <c r="K104" s="17">
        <f t="shared" si="18"/>
        <v>115.87982832618027</v>
      </c>
      <c r="L104" s="17">
        <f t="shared" si="19"/>
        <v>100.06891798759473</v>
      </c>
      <c r="M104" s="17">
        <f t="shared" si="20"/>
        <v>101.24434389140269</v>
      </c>
      <c r="BC104" s="65" t="s">
        <v>112</v>
      </c>
    </row>
    <row r="105" spans="1:55" x14ac:dyDescent="0.3">
      <c r="A105" s="13">
        <v>2750</v>
      </c>
      <c r="B105" s="13">
        <v>2920</v>
      </c>
      <c r="C105" s="13">
        <v>1780</v>
      </c>
      <c r="E105" s="15">
        <f t="shared" si="21"/>
        <v>1.8349138668196617E-2</v>
      </c>
      <c r="F105" s="15">
        <f t="shared" si="15"/>
        <v>5.4945193176407798E-3</v>
      </c>
      <c r="G105" s="15">
        <f t="shared" si="16"/>
        <v>-5.6022555486698981E-3</v>
      </c>
      <c r="H105" s="15">
        <f t="shared" si="22"/>
        <v>8.592796533025495E-3</v>
      </c>
      <c r="J105" s="18">
        <f t="shared" si="17"/>
        <v>108.99505567589729</v>
      </c>
      <c r="K105" s="17">
        <f t="shared" si="18"/>
        <v>118.0257510729614</v>
      </c>
      <c r="L105" s="17">
        <f t="shared" si="19"/>
        <v>100.62026188835283</v>
      </c>
      <c r="M105" s="17">
        <f t="shared" si="20"/>
        <v>100.67873303167418</v>
      </c>
      <c r="BC105" s="65" t="s">
        <v>113</v>
      </c>
    </row>
    <row r="106" spans="1:55" x14ac:dyDescent="0.3">
      <c r="A106" s="13">
        <v>2750</v>
      </c>
      <c r="B106" s="13">
        <v>2970</v>
      </c>
      <c r="C106" s="13">
        <v>1784</v>
      </c>
      <c r="E106" s="15">
        <f t="shared" si="21"/>
        <v>0</v>
      </c>
      <c r="F106" s="15">
        <f t="shared" si="15"/>
        <v>1.697833653441783E-2</v>
      </c>
      <c r="G106" s="15">
        <f t="shared" si="16"/>
        <v>2.2446698538239494E-3</v>
      </c>
      <c r="H106" s="15">
        <f t="shared" si="22"/>
        <v>4.0690682630307512E-3</v>
      </c>
      <c r="J106" s="18">
        <f t="shared" si="17"/>
        <v>109.43946755572446</v>
      </c>
      <c r="K106" s="17">
        <f t="shared" si="18"/>
        <v>118.0257510729614</v>
      </c>
      <c r="L106" s="17">
        <f t="shared" si="19"/>
        <v>102.34321157822188</v>
      </c>
      <c r="M106" s="17">
        <f t="shared" si="20"/>
        <v>100.90497737556559</v>
      </c>
      <c r="BC106" s="65" t="s">
        <v>114</v>
      </c>
    </row>
    <row r="107" spans="1:55" x14ac:dyDescent="0.3">
      <c r="A107" s="13">
        <v>2710</v>
      </c>
      <c r="B107" s="13">
        <v>3020</v>
      </c>
      <c r="C107" s="13">
        <v>1782</v>
      </c>
      <c r="E107" s="15">
        <f t="shared" si="21"/>
        <v>-1.4652276786870375E-2</v>
      </c>
      <c r="F107" s="15">
        <f t="shared" si="15"/>
        <v>1.6694878572170054E-2</v>
      </c>
      <c r="G107" s="15">
        <f t="shared" si="16"/>
        <v>-1.1217051092000155E-3</v>
      </c>
      <c r="H107" s="15">
        <f t="shared" si="22"/>
        <v>-4.3236742117611811E-3</v>
      </c>
      <c r="J107" s="18">
        <f t="shared" si="17"/>
        <v>108.96730841879824</v>
      </c>
      <c r="K107" s="17">
        <f t="shared" si="18"/>
        <v>116.30901287553651</v>
      </c>
      <c r="L107" s="17">
        <f t="shared" si="19"/>
        <v>104.06616126809094</v>
      </c>
      <c r="M107" s="17">
        <f t="shared" si="20"/>
        <v>100.7918552036199</v>
      </c>
      <c r="BC107" s="65" t="s">
        <v>115</v>
      </c>
    </row>
    <row r="108" spans="1:55" x14ac:dyDescent="0.3">
      <c r="A108" s="13">
        <v>2710</v>
      </c>
      <c r="B108" s="13">
        <v>3084</v>
      </c>
      <c r="C108" s="13">
        <v>1800</v>
      </c>
      <c r="E108" s="15">
        <f t="shared" si="21"/>
        <v>0</v>
      </c>
      <c r="F108" s="15">
        <f>LN(B108/B107)</f>
        <v>2.0970624314304718E-2</v>
      </c>
      <c r="G108" s="15">
        <f>LN(C108/C107)</f>
        <v>1.0050335853501506E-2</v>
      </c>
      <c r="H108" s="15">
        <f t="shared" si="22"/>
        <v>7.2092256189113958E-3</v>
      </c>
      <c r="J108" s="18">
        <f>+J107*EXP(H108)</f>
        <v>109.75571682265127</v>
      </c>
      <c r="K108" s="17">
        <f>+K107*EXP(E108)</f>
        <v>116.30901287553651</v>
      </c>
      <c r="L108" s="17">
        <f>+L107*EXP(F108)</f>
        <v>106.27153687112332</v>
      </c>
      <c r="M108" s="17">
        <f>+M107*EXP(G108)</f>
        <v>101.80995475113122</v>
      </c>
      <c r="BC108" s="65" t="s">
        <v>5</v>
      </c>
    </row>
    <row r="110" spans="1:55" x14ac:dyDescent="0.3">
      <c r="E110" s="11">
        <f>AVERAGE(E3:E108)</f>
        <v>1.4252864840943469E-3</v>
      </c>
      <c r="F110" s="11">
        <f t="shared" ref="F110:H110" si="23">AVERAGE(F3:F108)</f>
        <v>5.7384246451968788E-4</v>
      </c>
      <c r="G110" s="11">
        <f t="shared" si="23"/>
        <v>1.6922359138365751E-4</v>
      </c>
      <c r="H110" s="11">
        <f t="shared" si="23"/>
        <v>8.7817881236620812E-4</v>
      </c>
    </row>
    <row r="111" spans="1:55" x14ac:dyDescent="0.3">
      <c r="E111" s="11">
        <f>_xlfn.STDEV.S(E3:E108)</f>
        <v>1.5895056921389365E-2</v>
      </c>
      <c r="F111" s="11">
        <f t="shared" ref="F111:H111" si="24">_xlfn.STDEV.S(F3:F108)</f>
        <v>1.0982940735842084E-2</v>
      </c>
      <c r="G111" s="11">
        <f t="shared" si="24"/>
        <v>1.0348619410774099E-2</v>
      </c>
      <c r="H111" s="11">
        <f t="shared" si="24"/>
        <v>8.7689647972859861E-3</v>
      </c>
    </row>
  </sheetData>
  <mergeCells count="4">
    <mergeCell ref="O38:T42"/>
    <mergeCell ref="U3:V3"/>
    <mergeCell ref="Y20:Y21"/>
    <mergeCell ref="Z20:Z21"/>
  </mergeCells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317C0-8991-4B09-A758-9A6660613B84}">
  <sheetPr>
    <tabColor rgb="FFFF66FF"/>
  </sheetPr>
  <dimension ref="A1:X65"/>
  <sheetViews>
    <sheetView topLeftCell="P1" zoomScale="70" zoomScaleNormal="70" workbookViewId="0">
      <selection activeCell="R22" sqref="R22"/>
    </sheetView>
  </sheetViews>
  <sheetFormatPr defaultRowHeight="14.4" x14ac:dyDescent="0.3"/>
  <cols>
    <col min="1" max="1" width="10.6640625" style="4" bestFit="1" customWidth="1"/>
    <col min="2" max="2" width="10.5546875" style="4" bestFit="1" customWidth="1"/>
    <col min="3" max="7" width="8.88671875" style="4"/>
    <col min="8" max="8" width="11.6640625" style="4" customWidth="1"/>
    <col min="9" max="9" width="15" style="4" bestFit="1" customWidth="1"/>
    <col min="10" max="10" width="11.44140625" style="4" bestFit="1" customWidth="1"/>
    <col min="11" max="11" width="12.109375" style="4" bestFit="1" customWidth="1"/>
    <col min="12" max="12" width="11.33203125" style="4" bestFit="1" customWidth="1"/>
    <col min="13" max="13" width="14" style="4" bestFit="1" customWidth="1"/>
    <col min="14" max="15" width="8.88671875" style="4"/>
    <col min="16" max="16" width="12.5546875" style="4" customWidth="1"/>
    <col min="17" max="17" width="15" style="4" customWidth="1"/>
    <col min="18" max="18" width="10.33203125" style="4" customWidth="1"/>
    <col min="19" max="20" width="10.5546875" style="4" bestFit="1" customWidth="1"/>
    <col min="21" max="22" width="13.33203125" style="4" bestFit="1" customWidth="1"/>
    <col min="23" max="16384" width="8.88671875" style="4"/>
  </cols>
  <sheetData>
    <row r="1" spans="1:24" x14ac:dyDescent="0.3">
      <c r="A1" s="46" t="s">
        <v>158</v>
      </c>
      <c r="B1" s="46" t="s">
        <v>164</v>
      </c>
      <c r="C1" s="43" t="s">
        <v>163</v>
      </c>
      <c r="D1" s="43" t="s">
        <v>162</v>
      </c>
      <c r="E1" s="43" t="s">
        <v>161</v>
      </c>
      <c r="F1" s="43" t="s">
        <v>160</v>
      </c>
      <c r="G1" s="45"/>
      <c r="H1" s="44"/>
      <c r="P1" s="4" t="s">
        <v>159</v>
      </c>
    </row>
    <row r="2" spans="1:24" x14ac:dyDescent="0.3">
      <c r="A2" s="36"/>
      <c r="B2" s="35">
        <f t="shared" ref="B2:F11" ca="1" si="0">_xlfn.NORM.INV(RAND(),100,1)</f>
        <v>100.49562230721317</v>
      </c>
      <c r="C2" s="35">
        <f t="shared" ca="1" si="0"/>
        <v>99.055437739969463</v>
      </c>
      <c r="D2" s="35">
        <f t="shared" ca="1" si="0"/>
        <v>98.552268209117443</v>
      </c>
      <c r="E2" s="35">
        <f t="shared" ca="1" si="0"/>
        <v>100.02268332334693</v>
      </c>
      <c r="F2" s="35">
        <f t="shared" ca="1" si="0"/>
        <v>100.55732276093501</v>
      </c>
      <c r="G2" s="34"/>
      <c r="H2" s="33" t="s">
        <v>158</v>
      </c>
      <c r="I2" s="43" t="s">
        <v>157</v>
      </c>
      <c r="J2" s="43" t="s">
        <v>156</v>
      </c>
      <c r="K2" s="43" t="s">
        <v>155</v>
      </c>
      <c r="L2" s="43" t="s">
        <v>154</v>
      </c>
      <c r="M2" s="43" t="s">
        <v>153</v>
      </c>
      <c r="P2" s="40"/>
      <c r="Q2" s="40"/>
      <c r="R2" s="40" t="s">
        <v>140</v>
      </c>
      <c r="S2" s="40" t="s">
        <v>141</v>
      </c>
      <c r="T2" s="40" t="s">
        <v>144</v>
      </c>
      <c r="U2" s="40" t="s">
        <v>151</v>
      </c>
      <c r="V2" s="40" t="s">
        <v>150</v>
      </c>
    </row>
    <row r="3" spans="1:24" x14ac:dyDescent="0.3">
      <c r="A3" s="36"/>
      <c r="B3" s="35">
        <f t="shared" ca="1" si="0"/>
        <v>101.31459309725759</v>
      </c>
      <c r="C3" s="35">
        <f t="shared" ca="1" si="0"/>
        <v>99.725176764544912</v>
      </c>
      <c r="D3" s="35">
        <f t="shared" ca="1" si="0"/>
        <v>100.00639492384356</v>
      </c>
      <c r="E3" s="35">
        <f t="shared" ca="1" si="0"/>
        <v>100.29380506852861</v>
      </c>
      <c r="F3" s="35">
        <f t="shared" ca="1" si="0"/>
        <v>99.470837057178912</v>
      </c>
      <c r="G3" s="34"/>
      <c r="H3" s="33">
        <f t="shared" ref="H3:H34" si="1">+A3</f>
        <v>0</v>
      </c>
      <c r="I3" s="32">
        <f t="shared" ref="I3:I34" ca="1" si="2">+LN(B3/B2)</f>
        <v>8.1162916768236937E-3</v>
      </c>
      <c r="J3" s="32">
        <f t="shared" ref="J3:J34" ca="1" si="3">+LN(C3/C2)</f>
        <v>6.7384997324889048E-3</v>
      </c>
      <c r="K3" s="32">
        <f t="shared" ref="K3:K34" ca="1" si="4">+LN(D3/D2)</f>
        <v>1.4647084027419563E-2</v>
      </c>
      <c r="L3" s="32">
        <f t="shared" ref="L3:L34" ca="1" si="5">+LN(E3/E2)</f>
        <v>2.7069355389756199E-3</v>
      </c>
      <c r="M3" s="32">
        <f t="shared" ref="M3:M34" ca="1" si="6">+LN(F3/F2)</f>
        <v>-1.0863434326299713E-2</v>
      </c>
      <c r="P3" s="40"/>
      <c r="Q3" s="40"/>
      <c r="R3" s="40">
        <v>1</v>
      </c>
      <c r="S3" s="40">
        <v>2</v>
      </c>
      <c r="T3" s="40">
        <v>3</v>
      </c>
      <c r="U3" s="40">
        <v>4</v>
      </c>
      <c r="V3" s="40">
        <v>5</v>
      </c>
      <c r="X3" s="40" t="s">
        <v>145</v>
      </c>
    </row>
    <row r="4" spans="1:24" x14ac:dyDescent="0.3">
      <c r="A4" s="36"/>
      <c r="B4" s="35">
        <f t="shared" ca="1" si="0"/>
        <v>100.08567180903904</v>
      </c>
      <c r="C4" s="35">
        <f t="shared" ca="1" si="0"/>
        <v>102.81400342954257</v>
      </c>
      <c r="D4" s="35">
        <f t="shared" ca="1" si="0"/>
        <v>99.69149821944832</v>
      </c>
      <c r="E4" s="35">
        <f t="shared" ca="1" si="0"/>
        <v>99.229867361839069</v>
      </c>
      <c r="F4" s="35">
        <f t="shared" ca="1" si="0"/>
        <v>98.279854055896649</v>
      </c>
      <c r="G4" s="34"/>
      <c r="H4" s="33">
        <f t="shared" si="1"/>
        <v>0</v>
      </c>
      <c r="I4" s="32">
        <f t="shared" ca="1" si="2"/>
        <v>-1.2203921790015631E-2</v>
      </c>
      <c r="J4" s="32">
        <f t="shared" ca="1" si="3"/>
        <v>3.0503393565903789E-2</v>
      </c>
      <c r="K4" s="32">
        <f t="shared" ca="1" si="4"/>
        <v>-3.1537334764673345E-3</v>
      </c>
      <c r="L4" s="32">
        <f t="shared" ca="1" si="5"/>
        <v>-1.0664877786510417E-2</v>
      </c>
      <c r="M4" s="32">
        <f t="shared" ca="1" si="6"/>
        <v>-1.2045443631977848E-2</v>
      </c>
      <c r="N4" s="31"/>
      <c r="P4" s="40" t="s">
        <v>140</v>
      </c>
      <c r="Q4" s="40">
        <v>1</v>
      </c>
      <c r="R4" s="42">
        <f ca="1">CORREL(OFFSET($H$2,1,R$3,62,1),OFFSET($H$2,1,$Q4,62,1))</f>
        <v>1</v>
      </c>
      <c r="S4" s="42">
        <f t="shared" ref="R4:V8" ca="1" si="7">CORREL(OFFSET($H$2,1,S$3,62,1),OFFSET($H$2,1,$Q4,62,1))</f>
        <v>-0.17410659862567474</v>
      </c>
      <c r="T4" s="42">
        <f t="shared" ca="1" si="7"/>
        <v>-0.10292082384847005</v>
      </c>
      <c r="U4" s="42">
        <f t="shared" ca="1" si="7"/>
        <v>0.17800116549316991</v>
      </c>
      <c r="V4" s="42">
        <f t="shared" ca="1" si="7"/>
        <v>0.16322553188731187</v>
      </c>
      <c r="X4" s="32"/>
    </row>
    <row r="5" spans="1:24" x14ac:dyDescent="0.3">
      <c r="A5" s="36"/>
      <c r="B5" s="35">
        <f t="shared" ca="1" si="0"/>
        <v>100.25995259124998</v>
      </c>
      <c r="C5" s="35">
        <f t="shared" ca="1" si="0"/>
        <v>100.61390268982548</v>
      </c>
      <c r="D5" s="35">
        <f t="shared" ca="1" si="0"/>
        <v>100.00450272670098</v>
      </c>
      <c r="E5" s="35">
        <f t="shared" ca="1" si="0"/>
        <v>99.440009718387145</v>
      </c>
      <c r="F5" s="35">
        <f t="shared" ca="1" si="0"/>
        <v>100.27913378376631</v>
      </c>
      <c r="G5" s="34"/>
      <c r="H5" s="33">
        <f t="shared" si="1"/>
        <v>0</v>
      </c>
      <c r="I5" s="32">
        <f t="shared" ca="1" si="2"/>
        <v>1.7398016721717354E-3</v>
      </c>
      <c r="J5" s="32">
        <f t="shared" ca="1" si="3"/>
        <v>-2.1631118046484449E-2</v>
      </c>
      <c r="K5" s="32">
        <f t="shared" ca="1" si="4"/>
        <v>3.1348125360098674E-3</v>
      </c>
      <c r="L5" s="32">
        <f t="shared" ca="1" si="5"/>
        <v>2.1154936823591505E-3</v>
      </c>
      <c r="M5" s="32">
        <f t="shared" ca="1" si="6"/>
        <v>2.0138572607641757E-2</v>
      </c>
      <c r="N5" s="31"/>
      <c r="P5" s="40" t="s">
        <v>141</v>
      </c>
      <c r="Q5" s="40">
        <v>2</v>
      </c>
      <c r="R5" s="42">
        <f t="shared" ca="1" si="7"/>
        <v>-0.17410659862567474</v>
      </c>
      <c r="S5" s="42">
        <f t="shared" ca="1" si="7"/>
        <v>1.0000000000000002</v>
      </c>
      <c r="T5" s="42">
        <f t="shared" ca="1" si="7"/>
        <v>0.13845324956143551</v>
      </c>
      <c r="U5" s="42">
        <f t="shared" ca="1" si="7"/>
        <v>7.829348646982949E-2</v>
      </c>
      <c r="V5" s="42">
        <f t="shared" ca="1" si="7"/>
        <v>-4.4227191194395887E-2</v>
      </c>
      <c r="X5" s="32"/>
    </row>
    <row r="6" spans="1:24" x14ac:dyDescent="0.3">
      <c r="A6" s="36"/>
      <c r="B6" s="35">
        <f t="shared" ca="1" si="0"/>
        <v>100.18875572850506</v>
      </c>
      <c r="C6" s="35">
        <f t="shared" ca="1" si="0"/>
        <v>99.69879284773863</v>
      </c>
      <c r="D6" s="35">
        <f t="shared" ca="1" si="0"/>
        <v>100.14154265555926</v>
      </c>
      <c r="E6" s="35">
        <f t="shared" ca="1" si="0"/>
        <v>98.370552948602224</v>
      </c>
      <c r="F6" s="35">
        <f t="shared" ca="1" si="0"/>
        <v>100.1339004611725</v>
      </c>
      <c r="G6" s="34"/>
      <c r="H6" s="33">
        <f t="shared" si="1"/>
        <v>0</v>
      </c>
      <c r="I6" s="32">
        <f t="shared" ca="1" si="2"/>
        <v>-7.1037490174670633E-4</v>
      </c>
      <c r="J6" s="32">
        <f t="shared" ca="1" si="3"/>
        <v>-9.1368767808576636E-3</v>
      </c>
      <c r="K6" s="32">
        <f t="shared" ca="1" si="4"/>
        <v>1.3693995303475678E-3</v>
      </c>
      <c r="L6" s="32">
        <f t="shared" ca="1" si="5"/>
        <v>-1.081304431463152E-2</v>
      </c>
      <c r="M6" s="32">
        <f t="shared" ca="1" si="6"/>
        <v>-1.4493403441938916E-3</v>
      </c>
      <c r="N6" s="31"/>
      <c r="P6" s="40" t="s">
        <v>144</v>
      </c>
      <c r="Q6" s="40">
        <v>3</v>
      </c>
      <c r="R6" s="42">
        <f t="shared" ca="1" si="7"/>
        <v>-0.10292082384847005</v>
      </c>
      <c r="S6" s="42">
        <f t="shared" ca="1" si="7"/>
        <v>0.13845324956143551</v>
      </c>
      <c r="T6" s="42">
        <f t="shared" ca="1" si="7"/>
        <v>0.99999999999999989</v>
      </c>
      <c r="U6" s="42">
        <f t="shared" ca="1" si="7"/>
        <v>2.6100966474149258E-2</v>
      </c>
      <c r="V6" s="42">
        <f t="shared" ca="1" si="7"/>
        <v>-8.4181040186361203E-2</v>
      </c>
      <c r="X6" s="32"/>
    </row>
    <row r="7" spans="1:24" x14ac:dyDescent="0.3">
      <c r="A7" s="36"/>
      <c r="B7" s="35">
        <f t="shared" ca="1" si="0"/>
        <v>99.282147678045916</v>
      </c>
      <c r="C7" s="35">
        <f t="shared" ca="1" si="0"/>
        <v>99.59352994529938</v>
      </c>
      <c r="D7" s="35">
        <f t="shared" ca="1" si="0"/>
        <v>101.02451644760872</v>
      </c>
      <c r="E7" s="35">
        <f t="shared" ca="1" si="0"/>
        <v>99.544561913106534</v>
      </c>
      <c r="F7" s="35">
        <f t="shared" ca="1" si="0"/>
        <v>99.369304830025072</v>
      </c>
      <c r="G7" s="34"/>
      <c r="H7" s="33">
        <f t="shared" si="1"/>
        <v>0</v>
      </c>
      <c r="I7" s="32">
        <f t="shared" ca="1" si="2"/>
        <v>-9.0901908783487945E-3</v>
      </c>
      <c r="J7" s="32">
        <f t="shared" ca="1" si="3"/>
        <v>-1.0563669563652272E-3</v>
      </c>
      <c r="K7" s="32">
        <f t="shared" ca="1" si="4"/>
        <v>8.7786127186601833E-3</v>
      </c>
      <c r="L7" s="32">
        <f t="shared" ca="1" si="5"/>
        <v>1.1863901710092785E-2</v>
      </c>
      <c r="M7" s="32">
        <f t="shared" ca="1" si="6"/>
        <v>-7.6650334869056563E-3</v>
      </c>
      <c r="N7" s="31"/>
      <c r="P7" s="40" t="s">
        <v>151</v>
      </c>
      <c r="Q7" s="40">
        <v>4</v>
      </c>
      <c r="R7" s="42">
        <f t="shared" ca="1" si="7"/>
        <v>0.17800116549316991</v>
      </c>
      <c r="S7" s="42">
        <f t="shared" ca="1" si="7"/>
        <v>7.829348646982949E-2</v>
      </c>
      <c r="T7" s="42">
        <f t="shared" ca="1" si="7"/>
        <v>2.6100966474149258E-2</v>
      </c>
      <c r="U7" s="42">
        <f t="shared" ca="1" si="7"/>
        <v>1</v>
      </c>
      <c r="V7" s="42">
        <f t="shared" ca="1" si="7"/>
        <v>-0.13674143323100391</v>
      </c>
      <c r="X7" s="32"/>
    </row>
    <row r="8" spans="1:24" x14ac:dyDescent="0.3">
      <c r="A8" s="36"/>
      <c r="B8" s="35">
        <f t="shared" ca="1" si="0"/>
        <v>99.027634262308538</v>
      </c>
      <c r="C8" s="35">
        <f t="shared" ca="1" si="0"/>
        <v>98.970905367851245</v>
      </c>
      <c r="D8" s="35">
        <f t="shared" ca="1" si="0"/>
        <v>100.17235820243395</v>
      </c>
      <c r="E8" s="35">
        <f t="shared" ca="1" si="0"/>
        <v>98.025234737584597</v>
      </c>
      <c r="F8" s="35">
        <f t="shared" ca="1" si="0"/>
        <v>100.59237995899628</v>
      </c>
      <c r="G8" s="34"/>
      <c r="H8" s="33">
        <f t="shared" si="1"/>
        <v>0</v>
      </c>
      <c r="I8" s="32">
        <f t="shared" ca="1" si="2"/>
        <v>-2.5668280504149046E-3</v>
      </c>
      <c r="J8" s="32">
        <f t="shared" ca="1" si="3"/>
        <v>-6.2712803233146942E-3</v>
      </c>
      <c r="K8" s="32">
        <f t="shared" ca="1" si="4"/>
        <v>-8.4709401409129598E-3</v>
      </c>
      <c r="L8" s="32">
        <f t="shared" ca="1" si="5"/>
        <v>-1.5380459482959782E-2</v>
      </c>
      <c r="M8" s="32">
        <f t="shared" ca="1" si="6"/>
        <v>1.2233247416658582E-2</v>
      </c>
      <c r="N8" s="31"/>
      <c r="P8" s="40" t="s">
        <v>150</v>
      </c>
      <c r="Q8" s="40">
        <v>5</v>
      </c>
      <c r="R8" s="42">
        <f t="shared" ca="1" si="7"/>
        <v>0.16322553188731187</v>
      </c>
      <c r="S8" s="42">
        <f t="shared" ca="1" si="7"/>
        <v>-4.4227191194395887E-2</v>
      </c>
      <c r="T8" s="42">
        <f t="shared" ca="1" si="7"/>
        <v>-8.4181040186361203E-2</v>
      </c>
      <c r="U8" s="42">
        <f t="shared" ca="1" si="7"/>
        <v>-0.13674143323100391</v>
      </c>
      <c r="V8" s="42">
        <f t="shared" ca="1" si="7"/>
        <v>0.99999999999999978</v>
      </c>
      <c r="X8" s="32"/>
    </row>
    <row r="9" spans="1:24" x14ac:dyDescent="0.3">
      <c r="A9" s="36"/>
      <c r="B9" s="35">
        <f t="shared" ca="1" si="0"/>
        <v>100.64114504166844</v>
      </c>
      <c r="C9" s="35">
        <f t="shared" ca="1" si="0"/>
        <v>100.13308081803545</v>
      </c>
      <c r="D9" s="35">
        <f t="shared" ca="1" si="0"/>
        <v>98.465628403834643</v>
      </c>
      <c r="E9" s="35">
        <f t="shared" ca="1" si="0"/>
        <v>99.364120854459983</v>
      </c>
      <c r="F9" s="35">
        <f t="shared" ca="1" si="0"/>
        <v>101.575928375826</v>
      </c>
      <c r="G9" s="34"/>
      <c r="H9" s="33">
        <f t="shared" si="1"/>
        <v>0</v>
      </c>
      <c r="I9" s="32">
        <f t="shared" ca="1" si="2"/>
        <v>1.6162225340784101E-2</v>
      </c>
      <c r="J9" s="32">
        <f t="shared" ca="1" si="3"/>
        <v>1.1674187659438935E-2</v>
      </c>
      <c r="K9" s="32">
        <f t="shared" ca="1" si="4"/>
        <v>-1.71847472836257E-2</v>
      </c>
      <c r="L9" s="32">
        <f t="shared" ca="1" si="5"/>
        <v>1.3566148457088222E-2</v>
      </c>
      <c r="M9" s="32">
        <f t="shared" ca="1" si="6"/>
        <v>9.7300727759932083E-3</v>
      </c>
      <c r="N9" s="31"/>
    </row>
    <row r="10" spans="1:24" x14ac:dyDescent="0.3">
      <c r="A10" s="36"/>
      <c r="B10" s="35">
        <f t="shared" ca="1" si="0"/>
        <v>100.70927954246842</v>
      </c>
      <c r="C10" s="35">
        <f t="shared" ca="1" si="0"/>
        <v>99.249583003304409</v>
      </c>
      <c r="D10" s="35">
        <f t="shared" ca="1" si="0"/>
        <v>100.33885998633693</v>
      </c>
      <c r="E10" s="35">
        <f t="shared" ca="1" si="0"/>
        <v>100.50861723793189</v>
      </c>
      <c r="F10" s="35">
        <f t="shared" ca="1" si="0"/>
        <v>99.760735777677539</v>
      </c>
      <c r="G10" s="34"/>
      <c r="H10" s="33">
        <f t="shared" si="1"/>
        <v>0</v>
      </c>
      <c r="I10" s="32">
        <f t="shared" ca="1" si="2"/>
        <v>6.7677536356138576E-4</v>
      </c>
      <c r="J10" s="32">
        <f t="shared" ca="1" si="3"/>
        <v>-8.862391347666549E-3</v>
      </c>
      <c r="K10" s="32">
        <f t="shared" ca="1" si="4"/>
        <v>1.8845520418186282E-2</v>
      </c>
      <c r="L10" s="32">
        <f t="shared" ca="1" si="5"/>
        <v>1.1452376181160198E-2</v>
      </c>
      <c r="M10" s="32">
        <f t="shared" ca="1" si="6"/>
        <v>-1.8031904815828552E-2</v>
      </c>
      <c r="N10" s="31"/>
      <c r="P10" s="4" t="s">
        <v>145</v>
      </c>
      <c r="R10" s="32"/>
      <c r="S10" s="32"/>
      <c r="T10" s="32"/>
      <c r="U10" s="32"/>
      <c r="V10" s="32"/>
    </row>
    <row r="11" spans="1:24" x14ac:dyDescent="0.3">
      <c r="A11" s="36"/>
      <c r="B11" s="35">
        <f t="shared" ca="1" si="0"/>
        <v>100.90958232743284</v>
      </c>
      <c r="C11" s="35">
        <f t="shared" ca="1" si="0"/>
        <v>98.575006409834259</v>
      </c>
      <c r="D11" s="35">
        <f t="shared" ca="1" si="0"/>
        <v>100.74774428966695</v>
      </c>
      <c r="E11" s="35">
        <f t="shared" ca="1" si="0"/>
        <v>99.673059141449798</v>
      </c>
      <c r="F11" s="35">
        <f t="shared" ca="1" si="0"/>
        <v>99.484429294150672</v>
      </c>
      <c r="G11" s="34"/>
      <c r="H11" s="33">
        <f t="shared" si="1"/>
        <v>0</v>
      </c>
      <c r="I11" s="32">
        <f t="shared" ca="1" si="2"/>
        <v>1.986945556636404E-3</v>
      </c>
      <c r="J11" s="32">
        <f t="shared" ca="1" si="3"/>
        <v>-6.8199732917954264E-3</v>
      </c>
      <c r="K11" s="32">
        <f t="shared" ca="1" si="4"/>
        <v>4.0667539076444173E-3</v>
      </c>
      <c r="L11" s="32">
        <f t="shared" ca="1" si="5"/>
        <v>-8.3480462756037842E-3</v>
      </c>
      <c r="M11" s="32">
        <f t="shared" ca="1" si="6"/>
        <v>-2.7735344097413019E-3</v>
      </c>
      <c r="N11" s="31"/>
    </row>
    <row r="12" spans="1:24" x14ac:dyDescent="0.3">
      <c r="A12" s="36"/>
      <c r="B12" s="35">
        <f t="shared" ref="B12:F21" ca="1" si="8">_xlfn.NORM.INV(RAND(),100,1)</f>
        <v>102.55995167177855</v>
      </c>
      <c r="C12" s="35">
        <f t="shared" ca="1" si="8"/>
        <v>99.259212870372536</v>
      </c>
      <c r="D12" s="35">
        <f t="shared" ca="1" si="8"/>
        <v>98.605259104145375</v>
      </c>
      <c r="E12" s="35">
        <f t="shared" ca="1" si="8"/>
        <v>101.47149334119537</v>
      </c>
      <c r="F12" s="35">
        <f t="shared" ca="1" si="8"/>
        <v>100.46403530778807</v>
      </c>
      <c r="G12" s="34"/>
      <c r="H12" s="33">
        <f t="shared" si="1"/>
        <v>0</v>
      </c>
      <c r="I12" s="32">
        <f t="shared" ca="1" si="2"/>
        <v>1.6222630545593131E-2</v>
      </c>
      <c r="J12" s="32">
        <f t="shared" ca="1" si="3"/>
        <v>6.9169953611028035E-3</v>
      </c>
      <c r="K12" s="32">
        <f t="shared" ca="1" si="4"/>
        <v>-2.1495213435285262E-2</v>
      </c>
      <c r="L12" s="32">
        <f t="shared" ca="1" si="5"/>
        <v>1.7882484044943532E-2</v>
      </c>
      <c r="M12" s="32">
        <f t="shared" ca="1" si="6"/>
        <v>9.798663406094343E-3</v>
      </c>
      <c r="N12" s="31"/>
    </row>
    <row r="13" spans="1:24" x14ac:dyDescent="0.3">
      <c r="A13" s="36"/>
      <c r="B13" s="35">
        <f t="shared" ca="1" si="8"/>
        <v>100.7122579043787</v>
      </c>
      <c r="C13" s="35">
        <f t="shared" ca="1" si="8"/>
        <v>99.359675652355392</v>
      </c>
      <c r="D13" s="35">
        <f t="shared" ca="1" si="8"/>
        <v>100.42857704411205</v>
      </c>
      <c r="E13" s="35">
        <f t="shared" ca="1" si="8"/>
        <v>98.657394463228542</v>
      </c>
      <c r="F13" s="35">
        <f t="shared" ca="1" si="8"/>
        <v>101.65167477984373</v>
      </c>
      <c r="G13" s="34"/>
      <c r="H13" s="33">
        <f t="shared" si="1"/>
        <v>0</v>
      </c>
      <c r="I13" s="32">
        <f t="shared" ca="1" si="2"/>
        <v>-1.8180002681747728E-2</v>
      </c>
      <c r="J13" s="32">
        <f t="shared" ca="1" si="3"/>
        <v>1.0116136616969925E-3</v>
      </c>
      <c r="K13" s="32">
        <f t="shared" ca="1" si="4"/>
        <v>1.8322200714698773E-2</v>
      </c>
      <c r="L13" s="32">
        <f t="shared" ca="1" si="5"/>
        <v>-2.8124719048531758E-2</v>
      </c>
      <c r="M13" s="32">
        <f t="shared" ca="1" si="6"/>
        <v>1.1752210065110236E-2</v>
      </c>
      <c r="N13" s="31"/>
      <c r="P13" s="4" t="s">
        <v>152</v>
      </c>
    </row>
    <row r="14" spans="1:24" x14ac:dyDescent="0.3">
      <c r="A14" s="36"/>
      <c r="B14" s="35">
        <f t="shared" ca="1" si="8"/>
        <v>99.743909198536059</v>
      </c>
      <c r="C14" s="35">
        <f t="shared" ca="1" si="8"/>
        <v>102.32039945139159</v>
      </c>
      <c r="D14" s="35">
        <f t="shared" ca="1" si="8"/>
        <v>100.6031411780243</v>
      </c>
      <c r="E14" s="35">
        <f t="shared" ca="1" si="8"/>
        <v>99.070405372832354</v>
      </c>
      <c r="F14" s="35">
        <f t="shared" ca="1" si="8"/>
        <v>97.903903061777115</v>
      </c>
      <c r="G14" s="34"/>
      <c r="H14" s="33">
        <f t="shared" si="1"/>
        <v>0</v>
      </c>
      <c r="I14" s="32">
        <f t="shared" ca="1" si="2"/>
        <v>-9.6615260321039897E-3</v>
      </c>
      <c r="J14" s="32">
        <f t="shared" ca="1" si="3"/>
        <v>2.9362707393981193E-2</v>
      </c>
      <c r="K14" s="32">
        <f t="shared" ca="1" si="4"/>
        <v>1.7366829406902182E-3</v>
      </c>
      <c r="L14" s="32">
        <f t="shared" ca="1" si="5"/>
        <v>4.1775765532880808E-3</v>
      </c>
      <c r="M14" s="32">
        <f t="shared" ca="1" si="6"/>
        <v>-3.7565599299741737E-2</v>
      </c>
      <c r="N14" s="31"/>
      <c r="P14" s="40"/>
      <c r="Q14" s="40"/>
      <c r="R14" s="40" t="s">
        <v>140</v>
      </c>
      <c r="S14" s="40" t="s">
        <v>141</v>
      </c>
      <c r="T14" s="40" t="s">
        <v>144</v>
      </c>
      <c r="U14" s="40" t="s">
        <v>151</v>
      </c>
      <c r="V14" s="40" t="s">
        <v>150</v>
      </c>
      <c r="X14" s="40" t="s">
        <v>139</v>
      </c>
    </row>
    <row r="15" spans="1:24" x14ac:dyDescent="0.3">
      <c r="A15" s="36"/>
      <c r="B15" s="35">
        <f t="shared" ca="1" si="8"/>
        <v>100.43881646548836</v>
      </c>
      <c r="C15" s="35">
        <f t="shared" ca="1" si="8"/>
        <v>98.623284305512996</v>
      </c>
      <c r="D15" s="35">
        <f t="shared" ca="1" si="8"/>
        <v>99.976931796798851</v>
      </c>
      <c r="E15" s="35">
        <f t="shared" ca="1" si="8"/>
        <v>99.558243362189444</v>
      </c>
      <c r="F15" s="35">
        <f t="shared" ca="1" si="8"/>
        <v>98.0911977435496</v>
      </c>
      <c r="G15" s="34"/>
      <c r="H15" s="33">
        <f t="shared" si="1"/>
        <v>0</v>
      </c>
      <c r="I15" s="32">
        <f t="shared" ca="1" si="2"/>
        <v>6.9427574828426651E-3</v>
      </c>
      <c r="J15" s="32">
        <f t="shared" ca="1" si="3"/>
        <v>-3.6801678332514326E-2</v>
      </c>
      <c r="K15" s="32">
        <f t="shared" ca="1" si="4"/>
        <v>-6.2440042669201579E-3</v>
      </c>
      <c r="L15" s="32">
        <f t="shared" ca="1" si="5"/>
        <v>4.9120705735137713E-3</v>
      </c>
      <c r="M15" s="32">
        <f t="shared" ca="1" si="6"/>
        <v>1.9112185765329994E-3</v>
      </c>
      <c r="N15" s="31"/>
      <c r="P15" s="40"/>
      <c r="Q15" s="40"/>
      <c r="R15" s="40">
        <v>1</v>
      </c>
      <c r="S15" s="40">
        <v>2</v>
      </c>
      <c r="T15" s="40">
        <v>3</v>
      </c>
      <c r="U15" s="40">
        <v>4</v>
      </c>
      <c r="V15" s="40">
        <v>5</v>
      </c>
    </row>
    <row r="16" spans="1:24" x14ac:dyDescent="0.3">
      <c r="A16" s="36"/>
      <c r="B16" s="35">
        <f t="shared" ca="1" si="8"/>
        <v>101.45421164681396</v>
      </c>
      <c r="C16" s="35">
        <f t="shared" ca="1" si="8"/>
        <v>100.39601200726256</v>
      </c>
      <c r="D16" s="35">
        <f t="shared" ca="1" si="8"/>
        <v>102.38720959059098</v>
      </c>
      <c r="E16" s="35">
        <f t="shared" ca="1" si="8"/>
        <v>102.0414217963141</v>
      </c>
      <c r="F16" s="35">
        <f t="shared" ca="1" si="8"/>
        <v>100.52358532335862</v>
      </c>
      <c r="G16" s="34"/>
      <c r="H16" s="33">
        <f t="shared" si="1"/>
        <v>0</v>
      </c>
      <c r="I16" s="32">
        <f t="shared" ca="1" si="2"/>
        <v>1.0058829195665454E-2</v>
      </c>
      <c r="J16" s="32">
        <f t="shared" ca="1" si="3"/>
        <v>1.7815102552622124E-2</v>
      </c>
      <c r="K16" s="32">
        <f t="shared" ca="1" si="4"/>
        <v>2.3822321117188416E-2</v>
      </c>
      <c r="L16" s="32">
        <f t="shared" ca="1" si="5"/>
        <v>2.4635993559908635E-2</v>
      </c>
      <c r="M16" s="32">
        <f t="shared" ca="1" si="6"/>
        <v>2.449474463978054E-2</v>
      </c>
      <c r="N16" s="31"/>
      <c r="P16" s="40" t="s">
        <v>140</v>
      </c>
      <c r="Q16" s="40">
        <v>1</v>
      </c>
      <c r="R16" s="32">
        <f t="shared" ref="R16:V20" ca="1" si="9">+R4*$X4*R$10</f>
        <v>0</v>
      </c>
      <c r="S16" s="32">
        <f t="shared" ca="1" si="9"/>
        <v>0</v>
      </c>
      <c r="T16" s="32">
        <f t="shared" ca="1" si="9"/>
        <v>0</v>
      </c>
      <c r="U16" s="32">
        <f t="shared" ca="1" si="9"/>
        <v>0</v>
      </c>
      <c r="V16" s="32">
        <f t="shared" ca="1" si="9"/>
        <v>0</v>
      </c>
      <c r="X16" s="41">
        <f t="array" ref="X16:X20">+TRANSPOSE(R22:V22)</f>
        <v>0</v>
      </c>
    </row>
    <row r="17" spans="1:24" x14ac:dyDescent="0.3">
      <c r="A17" s="36"/>
      <c r="B17" s="35">
        <f t="shared" ca="1" si="8"/>
        <v>100.94631906725016</v>
      </c>
      <c r="C17" s="35">
        <f t="shared" ca="1" si="8"/>
        <v>100.7740764667256</v>
      </c>
      <c r="D17" s="35">
        <f t="shared" ca="1" si="8"/>
        <v>100.62695465341031</v>
      </c>
      <c r="E17" s="35">
        <f t="shared" ca="1" si="8"/>
        <v>99.911529932552511</v>
      </c>
      <c r="F17" s="35">
        <f t="shared" ca="1" si="8"/>
        <v>99.879918241253193</v>
      </c>
      <c r="G17" s="34"/>
      <c r="H17" s="33">
        <f t="shared" si="1"/>
        <v>0</v>
      </c>
      <c r="I17" s="32">
        <f t="shared" ca="1" si="2"/>
        <v>-5.0186987535060798E-3</v>
      </c>
      <c r="J17" s="32">
        <f t="shared" ca="1" si="3"/>
        <v>3.7586592263648458E-3</v>
      </c>
      <c r="K17" s="32">
        <f t="shared" ca="1" si="4"/>
        <v>-1.7341637784954674E-2</v>
      </c>
      <c r="L17" s="32">
        <f t="shared" ca="1" si="5"/>
        <v>-2.1093733156880685E-2</v>
      </c>
      <c r="M17" s="32">
        <f t="shared" ca="1" si="6"/>
        <v>-6.423732959054072E-3</v>
      </c>
      <c r="N17" s="31"/>
      <c r="P17" s="40" t="s">
        <v>141</v>
      </c>
      <c r="Q17" s="40">
        <v>2</v>
      </c>
      <c r="R17" s="32">
        <f t="shared" ca="1" si="9"/>
        <v>0</v>
      </c>
      <c r="S17" s="32">
        <f t="shared" ca="1" si="9"/>
        <v>0</v>
      </c>
      <c r="T17" s="32">
        <f t="shared" ca="1" si="9"/>
        <v>0</v>
      </c>
      <c r="U17" s="32">
        <f t="shared" ca="1" si="9"/>
        <v>0</v>
      </c>
      <c r="V17" s="32">
        <f t="shared" ca="1" si="9"/>
        <v>0</v>
      </c>
      <c r="X17" s="41">
        <v>0</v>
      </c>
    </row>
    <row r="18" spans="1:24" x14ac:dyDescent="0.3">
      <c r="A18" s="36"/>
      <c r="B18" s="35">
        <f t="shared" ca="1" si="8"/>
        <v>100.70543913167509</v>
      </c>
      <c r="C18" s="35">
        <f t="shared" ca="1" si="8"/>
        <v>99.771846029868058</v>
      </c>
      <c r="D18" s="35">
        <f t="shared" ca="1" si="8"/>
        <v>99.254199219641734</v>
      </c>
      <c r="E18" s="35">
        <f t="shared" ca="1" si="8"/>
        <v>98.934903222953821</v>
      </c>
      <c r="F18" s="35">
        <f t="shared" ca="1" si="8"/>
        <v>97.119253564406833</v>
      </c>
      <c r="G18" s="34"/>
      <c r="H18" s="33">
        <f t="shared" si="1"/>
        <v>0</v>
      </c>
      <c r="I18" s="32">
        <f t="shared" ca="1" si="2"/>
        <v>-2.3890696743545953E-3</v>
      </c>
      <c r="J18" s="32">
        <f t="shared" ca="1" si="3"/>
        <v>-9.9951050424027105E-3</v>
      </c>
      <c r="K18" s="32">
        <f t="shared" ca="1" si="4"/>
        <v>-1.3735932487042782E-2</v>
      </c>
      <c r="L18" s="32">
        <f t="shared" ca="1" si="5"/>
        <v>-9.8230030792454057E-3</v>
      </c>
      <c r="M18" s="32">
        <f t="shared" ca="1" si="6"/>
        <v>-2.8029005264045701E-2</v>
      </c>
      <c r="N18" s="31"/>
      <c r="P18" s="40" t="s">
        <v>144</v>
      </c>
      <c r="Q18" s="40">
        <v>3</v>
      </c>
      <c r="R18" s="32">
        <f t="shared" ca="1" si="9"/>
        <v>0</v>
      </c>
      <c r="S18" s="32">
        <f t="shared" ca="1" si="9"/>
        <v>0</v>
      </c>
      <c r="T18" s="32">
        <f t="shared" ca="1" si="9"/>
        <v>0</v>
      </c>
      <c r="U18" s="32">
        <f t="shared" ca="1" si="9"/>
        <v>0</v>
      </c>
      <c r="V18" s="32">
        <f t="shared" ca="1" si="9"/>
        <v>0</v>
      </c>
      <c r="X18" s="41">
        <v>0</v>
      </c>
    </row>
    <row r="19" spans="1:24" x14ac:dyDescent="0.3">
      <c r="A19" s="36"/>
      <c r="B19" s="35">
        <f t="shared" ca="1" si="8"/>
        <v>99.310001747868441</v>
      </c>
      <c r="C19" s="35">
        <f t="shared" ca="1" si="8"/>
        <v>98.926083296590988</v>
      </c>
      <c r="D19" s="35">
        <f t="shared" ca="1" si="8"/>
        <v>99.155423417931161</v>
      </c>
      <c r="E19" s="35">
        <f t="shared" ca="1" si="8"/>
        <v>99.729574841319717</v>
      </c>
      <c r="F19" s="35">
        <f t="shared" ca="1" si="8"/>
        <v>99.51620958862118</v>
      </c>
      <c r="G19" s="34"/>
      <c r="H19" s="33">
        <f t="shared" si="1"/>
        <v>0</v>
      </c>
      <c r="I19" s="32">
        <f t="shared" ca="1" si="2"/>
        <v>-1.3953522974644302E-2</v>
      </c>
      <c r="J19" s="32">
        <f t="shared" ca="1" si="3"/>
        <v>-8.5131017121760546E-3</v>
      </c>
      <c r="K19" s="32">
        <f t="shared" ca="1" si="4"/>
        <v>-9.9567559836840963E-4</v>
      </c>
      <c r="L19" s="32">
        <f t="shared" ca="1" si="5"/>
        <v>8.0001806517651323E-3</v>
      </c>
      <c r="M19" s="32">
        <f t="shared" ca="1" si="6"/>
        <v>2.4380899757046492E-2</v>
      </c>
      <c r="N19" s="31"/>
      <c r="P19" s="40" t="s">
        <v>151</v>
      </c>
      <c r="Q19" s="40">
        <v>4</v>
      </c>
      <c r="R19" s="32">
        <f t="shared" ca="1" si="9"/>
        <v>0</v>
      </c>
      <c r="S19" s="32">
        <f t="shared" ca="1" si="9"/>
        <v>0</v>
      </c>
      <c r="T19" s="32">
        <f t="shared" ca="1" si="9"/>
        <v>0</v>
      </c>
      <c r="U19" s="32">
        <f t="shared" ca="1" si="9"/>
        <v>0</v>
      </c>
      <c r="V19" s="32">
        <f t="shared" ca="1" si="9"/>
        <v>0</v>
      </c>
      <c r="X19" s="41">
        <v>0</v>
      </c>
    </row>
    <row r="20" spans="1:24" x14ac:dyDescent="0.3">
      <c r="A20" s="36"/>
      <c r="B20" s="35">
        <f t="shared" ca="1" si="8"/>
        <v>100.95844681425716</v>
      </c>
      <c r="C20" s="35">
        <f t="shared" ca="1" si="8"/>
        <v>99.529679820336966</v>
      </c>
      <c r="D20" s="35">
        <f t="shared" ca="1" si="8"/>
        <v>98.774563978085339</v>
      </c>
      <c r="E20" s="35">
        <f t="shared" ca="1" si="8"/>
        <v>100.72697394563754</v>
      </c>
      <c r="F20" s="35">
        <f t="shared" ca="1" si="8"/>
        <v>98.257809702488387</v>
      </c>
      <c r="G20" s="34"/>
      <c r="H20" s="33">
        <f t="shared" si="1"/>
        <v>0</v>
      </c>
      <c r="I20" s="32">
        <f t="shared" ca="1" si="2"/>
        <v>1.6462725989771082E-2</v>
      </c>
      <c r="J20" s="32">
        <f t="shared" ca="1" si="3"/>
        <v>6.0829514393501124E-3</v>
      </c>
      <c r="K20" s="32">
        <f t="shared" ca="1" si="4"/>
        <v>-3.8484305982496962E-3</v>
      </c>
      <c r="L20" s="32">
        <f t="shared" ca="1" si="5"/>
        <v>9.9513569532641618E-3</v>
      </c>
      <c r="M20" s="32">
        <f t="shared" ca="1" si="6"/>
        <v>-1.2725805678085221E-2</v>
      </c>
      <c r="N20" s="31"/>
      <c r="P20" s="40" t="s">
        <v>150</v>
      </c>
      <c r="Q20" s="40">
        <v>5</v>
      </c>
      <c r="R20" s="32">
        <f t="shared" ca="1" si="9"/>
        <v>0</v>
      </c>
      <c r="S20" s="32">
        <f t="shared" ca="1" si="9"/>
        <v>0</v>
      </c>
      <c r="T20" s="32">
        <f t="shared" ca="1" si="9"/>
        <v>0</v>
      </c>
      <c r="U20" s="32">
        <f t="shared" ca="1" si="9"/>
        <v>0</v>
      </c>
      <c r="V20" s="32">
        <f t="shared" ca="1" si="9"/>
        <v>0</v>
      </c>
      <c r="X20" s="41">
        <v>0</v>
      </c>
    </row>
    <row r="21" spans="1:24" x14ac:dyDescent="0.3">
      <c r="A21" s="36"/>
      <c r="B21" s="35">
        <f t="shared" ca="1" si="8"/>
        <v>100.6169736076413</v>
      </c>
      <c r="C21" s="35">
        <f t="shared" ca="1" si="8"/>
        <v>98.557461539714879</v>
      </c>
      <c r="D21" s="35">
        <f t="shared" ca="1" si="8"/>
        <v>99.867004097492341</v>
      </c>
      <c r="E21" s="35">
        <f t="shared" ca="1" si="8"/>
        <v>99.274696014580456</v>
      </c>
      <c r="F21" s="35">
        <f t="shared" ca="1" si="8"/>
        <v>101.50690137843139</v>
      </c>
      <c r="G21" s="34"/>
      <c r="H21" s="33">
        <f t="shared" si="1"/>
        <v>0</v>
      </c>
      <c r="I21" s="32">
        <f t="shared" ca="1" si="2"/>
        <v>-3.3880473377639365E-3</v>
      </c>
      <c r="J21" s="32">
        <f t="shared" ca="1" si="3"/>
        <v>-9.8161453649191089E-3</v>
      </c>
      <c r="K21" s="32">
        <f t="shared" ca="1" si="4"/>
        <v>1.0999219789127625E-2</v>
      </c>
      <c r="L21" s="32">
        <f t="shared" ca="1" si="5"/>
        <v>-1.4522913302249146E-2</v>
      </c>
      <c r="M21" s="32">
        <f t="shared" ca="1" si="6"/>
        <v>3.2532054390133361E-2</v>
      </c>
      <c r="N21" s="31"/>
    </row>
    <row r="22" spans="1:24" x14ac:dyDescent="0.3">
      <c r="A22" s="36"/>
      <c r="B22" s="35">
        <f t="shared" ref="B22:F31" ca="1" si="10">_xlfn.NORM.INV(RAND(),100,1)</f>
        <v>100.09841653978168</v>
      </c>
      <c r="C22" s="35">
        <f t="shared" ca="1" si="10"/>
        <v>98.732264430544902</v>
      </c>
      <c r="D22" s="35">
        <f t="shared" ca="1" si="10"/>
        <v>100.91760727496063</v>
      </c>
      <c r="E22" s="35">
        <f t="shared" ca="1" si="10"/>
        <v>99.829425220131284</v>
      </c>
      <c r="F22" s="35">
        <f t="shared" ca="1" si="10"/>
        <v>99.803110816707203</v>
      </c>
      <c r="G22" s="34"/>
      <c r="H22" s="33">
        <f t="shared" si="1"/>
        <v>0</v>
      </c>
      <c r="I22" s="32">
        <f t="shared" ca="1" si="2"/>
        <v>-5.1670997547425528E-3</v>
      </c>
      <c r="J22" s="32">
        <f t="shared" ca="1" si="3"/>
        <v>1.7720429760082338E-3</v>
      </c>
      <c r="K22" s="32">
        <f t="shared" ca="1" si="4"/>
        <v>1.0465072582773047E-2</v>
      </c>
      <c r="L22" s="32">
        <f t="shared" ca="1" si="5"/>
        <v>5.5722667866351218E-3</v>
      </c>
      <c r="M22" s="32">
        <f t="shared" ca="1" si="6"/>
        <v>-1.6927436706818264E-2</v>
      </c>
      <c r="N22" s="31"/>
      <c r="P22" s="40" t="s">
        <v>139</v>
      </c>
      <c r="R22" s="41"/>
      <c r="S22" s="41"/>
      <c r="T22" s="41"/>
      <c r="U22" s="41"/>
      <c r="V22" s="41"/>
      <c r="X22" s="35">
        <f>+SUM(X16:X20)</f>
        <v>0</v>
      </c>
    </row>
    <row r="23" spans="1:24" x14ac:dyDescent="0.3">
      <c r="A23" s="36"/>
      <c r="B23" s="35">
        <f t="shared" ca="1" si="10"/>
        <v>99.912405244302633</v>
      </c>
      <c r="C23" s="35">
        <f t="shared" ca="1" si="10"/>
        <v>100.49814738343946</v>
      </c>
      <c r="D23" s="35">
        <f t="shared" ca="1" si="10"/>
        <v>100.51269069035119</v>
      </c>
      <c r="E23" s="35">
        <f t="shared" ca="1" si="10"/>
        <v>100.83041418532454</v>
      </c>
      <c r="F23" s="35">
        <f t="shared" ca="1" si="10"/>
        <v>99.96797471950137</v>
      </c>
      <c r="G23" s="34"/>
      <c r="H23" s="33">
        <f t="shared" si="1"/>
        <v>0</v>
      </c>
      <c r="I23" s="32">
        <f t="shared" ca="1" si="2"/>
        <v>-1.8600128477812162E-3</v>
      </c>
      <c r="J23" s="32">
        <f t="shared" ca="1" si="3"/>
        <v>1.7727506385844208E-2</v>
      </c>
      <c r="K23" s="32">
        <f t="shared" ca="1" si="4"/>
        <v>-4.0204193124308597E-3</v>
      </c>
      <c r="L23" s="32">
        <f t="shared" ca="1" si="5"/>
        <v>9.9770564103597529E-3</v>
      </c>
      <c r="M23" s="32">
        <f t="shared" ca="1" si="6"/>
        <v>1.6505285515079921E-3</v>
      </c>
      <c r="N23" s="31"/>
    </row>
    <row r="24" spans="1:24" x14ac:dyDescent="0.3">
      <c r="A24" s="36"/>
      <c r="B24" s="35">
        <f t="shared" ca="1" si="10"/>
        <v>100.428951668837</v>
      </c>
      <c r="C24" s="35">
        <f t="shared" ca="1" si="10"/>
        <v>100.63411104092231</v>
      </c>
      <c r="D24" s="35">
        <f t="shared" ca="1" si="10"/>
        <v>98.900780988075596</v>
      </c>
      <c r="E24" s="35">
        <f t="shared" ca="1" si="10"/>
        <v>99.294231379631981</v>
      </c>
      <c r="F24" s="35">
        <f t="shared" ca="1" si="10"/>
        <v>99.431560047297921</v>
      </c>
      <c r="G24" s="34"/>
      <c r="H24" s="33">
        <f t="shared" si="1"/>
        <v>0</v>
      </c>
      <c r="I24" s="32">
        <f t="shared" ca="1" si="2"/>
        <v>5.1566743594949347E-3</v>
      </c>
      <c r="J24" s="32">
        <f t="shared" ca="1" si="3"/>
        <v>1.351982812286262E-3</v>
      </c>
      <c r="K24" s="32">
        <f t="shared" ca="1" si="4"/>
        <v>-1.6166859710492174E-2</v>
      </c>
      <c r="L24" s="32">
        <f t="shared" ca="1" si="5"/>
        <v>-1.5352561645518183E-2</v>
      </c>
      <c r="M24" s="32">
        <f t="shared" ca="1" si="6"/>
        <v>-5.3803131168871886E-3</v>
      </c>
      <c r="N24" s="31"/>
    </row>
    <row r="25" spans="1:24" x14ac:dyDescent="0.3">
      <c r="A25" s="36"/>
      <c r="B25" s="35">
        <f t="shared" ca="1" si="10"/>
        <v>100.35726997728663</v>
      </c>
      <c r="C25" s="35">
        <f t="shared" ca="1" si="10"/>
        <v>99.579184104154649</v>
      </c>
      <c r="D25" s="35">
        <f t="shared" ca="1" si="10"/>
        <v>97.695311072202358</v>
      </c>
      <c r="E25" s="35">
        <f t="shared" ca="1" si="10"/>
        <v>100.66980682732706</v>
      </c>
      <c r="F25" s="35">
        <f t="shared" ca="1" si="10"/>
        <v>98.566731340672391</v>
      </c>
      <c r="G25" s="34"/>
      <c r="H25" s="33">
        <f t="shared" si="1"/>
        <v>0</v>
      </c>
      <c r="I25" s="32">
        <f t="shared" ca="1" si="2"/>
        <v>-7.1401009499588892E-4</v>
      </c>
      <c r="J25" s="32">
        <f t="shared" ca="1" si="3"/>
        <v>-1.0538128336020535E-2</v>
      </c>
      <c r="K25" s="32">
        <f t="shared" ca="1" si="4"/>
        <v>-1.2263570565137449E-2</v>
      </c>
      <c r="L25" s="32">
        <f t="shared" ca="1" si="5"/>
        <v>1.3758445359176518E-2</v>
      </c>
      <c r="M25" s="32">
        <f t="shared" ca="1" si="6"/>
        <v>-8.7357744394311772E-3</v>
      </c>
      <c r="N25" s="31"/>
      <c r="R25" s="40" t="s">
        <v>140</v>
      </c>
      <c r="S25" s="40" t="s">
        <v>141</v>
      </c>
      <c r="T25" s="40" t="s">
        <v>144</v>
      </c>
      <c r="U25" s="40" t="s">
        <v>151</v>
      </c>
      <c r="V25" s="40" t="s">
        <v>150</v>
      </c>
    </row>
    <row r="26" spans="1:24" x14ac:dyDescent="0.3">
      <c r="A26" s="36"/>
      <c r="B26" s="35">
        <f t="shared" ca="1" si="10"/>
        <v>99.707103815366551</v>
      </c>
      <c r="C26" s="35">
        <f t="shared" ca="1" si="10"/>
        <v>102.52439921280265</v>
      </c>
      <c r="D26" s="35">
        <f t="shared" ca="1" si="10"/>
        <v>100.47977387925673</v>
      </c>
      <c r="E26" s="35">
        <f t="shared" ca="1" si="10"/>
        <v>99.640649827534332</v>
      </c>
      <c r="F26" s="35">
        <f t="shared" ca="1" si="10"/>
        <v>100.61693697849468</v>
      </c>
      <c r="G26" s="34"/>
      <c r="H26" s="33">
        <f t="shared" si="1"/>
        <v>0</v>
      </c>
      <c r="I26" s="32">
        <f t="shared" ca="1" si="2"/>
        <v>-6.4995924904848587E-3</v>
      </c>
      <c r="J26" s="32">
        <f t="shared" ca="1" si="3"/>
        <v>2.9147663541828212E-2</v>
      </c>
      <c r="K26" s="32">
        <f t="shared" ca="1" si="4"/>
        <v>2.810288753456975E-2</v>
      </c>
      <c r="L26" s="32">
        <f t="shared" ca="1" si="5"/>
        <v>-1.0275709742822924E-2</v>
      </c>
      <c r="M26" s="32">
        <f t="shared" ca="1" si="6"/>
        <v>2.058680878702503E-2</v>
      </c>
      <c r="N26" s="31"/>
      <c r="P26" s="40"/>
      <c r="Q26" s="4" t="s">
        <v>149</v>
      </c>
      <c r="R26" s="39">
        <f ca="1">+AVERAGE(I3:I64)</f>
        <v>-1.1389906724534075E-4</v>
      </c>
      <c r="S26" s="39">
        <f ca="1">+AVERAGE(J3:J64)</f>
        <v>4.1379791959819385E-4</v>
      </c>
      <c r="T26" s="39">
        <f ca="1">+AVERAGE(K3:K64)</f>
        <v>2.7332003969525237E-4</v>
      </c>
      <c r="U26" s="39">
        <f ca="1">+AVERAGE(L3:L64)</f>
        <v>2.0197117339440399E-4</v>
      </c>
      <c r="V26" s="39">
        <f ca="1">+AVERAGE(M3:M64)</f>
        <v>-2.9123728379210252E-4</v>
      </c>
    </row>
    <row r="27" spans="1:24" x14ac:dyDescent="0.3">
      <c r="A27" s="36"/>
      <c r="B27" s="35">
        <f t="shared" ca="1" si="10"/>
        <v>99.433144310880138</v>
      </c>
      <c r="C27" s="35">
        <f t="shared" ca="1" si="10"/>
        <v>100.68417028107876</v>
      </c>
      <c r="D27" s="35">
        <f t="shared" ca="1" si="10"/>
        <v>99.635668658510625</v>
      </c>
      <c r="E27" s="35">
        <f t="shared" ca="1" si="10"/>
        <v>99.912768420308055</v>
      </c>
      <c r="F27" s="35">
        <f t="shared" ca="1" si="10"/>
        <v>99.85595397934388</v>
      </c>
      <c r="G27" s="34"/>
      <c r="H27" s="33">
        <f t="shared" si="1"/>
        <v>0</v>
      </c>
      <c r="I27" s="32">
        <f t="shared" ca="1" si="2"/>
        <v>-2.751424484950742E-3</v>
      </c>
      <c r="J27" s="32">
        <f t="shared" ca="1" si="3"/>
        <v>-1.8112220795417772E-2</v>
      </c>
      <c r="K27" s="32">
        <f t="shared" ca="1" si="4"/>
        <v>-8.4362327692914258E-3</v>
      </c>
      <c r="L27" s="32">
        <f t="shared" ca="1" si="5"/>
        <v>2.7272773759741413E-3</v>
      </c>
      <c r="M27" s="32">
        <f t="shared" ca="1" si="6"/>
        <v>-7.5919158005643252E-3</v>
      </c>
      <c r="N27" s="31"/>
      <c r="P27" s="40"/>
    </row>
    <row r="28" spans="1:24" x14ac:dyDescent="0.3">
      <c r="A28" s="36"/>
      <c r="B28" s="35">
        <f t="shared" ca="1" si="10"/>
        <v>100.24111033958889</v>
      </c>
      <c r="C28" s="35">
        <f t="shared" ca="1" si="10"/>
        <v>100.21326780267557</v>
      </c>
      <c r="D28" s="35">
        <f t="shared" ca="1" si="10"/>
        <v>99.395537209041834</v>
      </c>
      <c r="E28" s="35">
        <f t="shared" ca="1" si="10"/>
        <v>100.84767421468568</v>
      </c>
      <c r="F28" s="35">
        <f t="shared" ca="1" si="10"/>
        <v>99.436140284242569</v>
      </c>
      <c r="G28" s="34"/>
      <c r="H28" s="33">
        <f t="shared" si="1"/>
        <v>0</v>
      </c>
      <c r="I28" s="32">
        <f t="shared" ca="1" si="2"/>
        <v>8.0928854840678285E-3</v>
      </c>
      <c r="J28" s="32">
        <f t="shared" ca="1" si="3"/>
        <v>-4.6879974710057597E-3</v>
      </c>
      <c r="K28" s="32">
        <f t="shared" ca="1" si="4"/>
        <v>-2.4130041813055368E-3</v>
      </c>
      <c r="L28" s="32">
        <f t="shared" ca="1" si="5"/>
        <v>9.3137128043405473E-3</v>
      </c>
      <c r="M28" s="32">
        <f t="shared" ca="1" si="6"/>
        <v>-4.2130553910939561E-3</v>
      </c>
      <c r="N28" s="31"/>
      <c r="P28" s="40"/>
    </row>
    <row r="29" spans="1:24" x14ac:dyDescent="0.3">
      <c r="A29" s="36"/>
      <c r="B29" s="35">
        <f t="shared" ca="1" si="10"/>
        <v>100.10479066156381</v>
      </c>
      <c r="C29" s="35">
        <f t="shared" ca="1" si="10"/>
        <v>100.18062348445127</v>
      </c>
      <c r="D29" s="35">
        <f t="shared" ca="1" si="10"/>
        <v>99.733709181238368</v>
      </c>
      <c r="E29" s="35">
        <f t="shared" ca="1" si="10"/>
        <v>101.35847450920942</v>
      </c>
      <c r="F29" s="35">
        <f t="shared" ca="1" si="10"/>
        <v>100.59149994535763</v>
      </c>
      <c r="G29" s="34"/>
      <c r="H29" s="33">
        <f t="shared" si="1"/>
        <v>0</v>
      </c>
      <c r="I29" s="32">
        <f t="shared" ca="1" si="2"/>
        <v>-1.3608434051442834E-3</v>
      </c>
      <c r="J29" s="32">
        <f t="shared" ca="1" si="3"/>
        <v>-3.2580153320423366E-4</v>
      </c>
      <c r="K29" s="32">
        <f t="shared" ca="1" si="4"/>
        <v>3.3965105922982054E-3</v>
      </c>
      <c r="L29" s="32">
        <f t="shared" ca="1" si="5"/>
        <v>5.0522833680955882E-3</v>
      </c>
      <c r="M29" s="32">
        <f t="shared" ca="1" si="6"/>
        <v>1.1552128580667734E-2</v>
      </c>
      <c r="N29" s="31"/>
      <c r="P29" s="40"/>
      <c r="Q29" s="4" t="s">
        <v>148</v>
      </c>
    </row>
    <row r="30" spans="1:24" x14ac:dyDescent="0.3">
      <c r="A30" s="36"/>
      <c r="B30" s="35">
        <f t="shared" ca="1" si="10"/>
        <v>98.841084054718365</v>
      </c>
      <c r="C30" s="35">
        <f t="shared" ca="1" si="10"/>
        <v>98.865577128984711</v>
      </c>
      <c r="D30" s="35">
        <f t="shared" ca="1" si="10"/>
        <v>101.35041403476389</v>
      </c>
      <c r="E30" s="35">
        <f t="shared" ca="1" si="10"/>
        <v>100.00238356002777</v>
      </c>
      <c r="F30" s="35">
        <f t="shared" ca="1" si="10"/>
        <v>99.98498931687358</v>
      </c>
      <c r="G30" s="34"/>
      <c r="H30" s="33">
        <f t="shared" si="1"/>
        <v>0</v>
      </c>
      <c r="I30" s="32">
        <f t="shared" ca="1" si="2"/>
        <v>-1.2704195099244035E-2</v>
      </c>
      <c r="J30" s="32">
        <f t="shared" ca="1" si="3"/>
        <v>-1.3213670850312529E-2</v>
      </c>
      <c r="K30" s="32">
        <f t="shared" ca="1" si="4"/>
        <v>1.6080232133566481E-2</v>
      </c>
      <c r="L30" s="32">
        <f t="shared" ca="1" si="5"/>
        <v>-1.346946437047432E-2</v>
      </c>
      <c r="M30" s="32">
        <f t="shared" ca="1" si="6"/>
        <v>-6.0476926212713073E-3</v>
      </c>
      <c r="N30" s="31"/>
      <c r="P30" s="40"/>
    </row>
    <row r="31" spans="1:24" x14ac:dyDescent="0.3">
      <c r="A31" s="36"/>
      <c r="B31" s="35">
        <f t="shared" ca="1" si="10"/>
        <v>99.213326945547536</v>
      </c>
      <c r="C31" s="35">
        <f t="shared" ca="1" si="10"/>
        <v>100.45843381249198</v>
      </c>
      <c r="D31" s="35">
        <f t="shared" ca="1" si="10"/>
        <v>99.318123712031039</v>
      </c>
      <c r="E31" s="35">
        <f t="shared" ca="1" si="10"/>
        <v>100.75737652938807</v>
      </c>
      <c r="F31" s="35">
        <f t="shared" ca="1" si="10"/>
        <v>99.733434832430447</v>
      </c>
      <c r="G31" s="34"/>
      <c r="H31" s="33">
        <f t="shared" si="1"/>
        <v>0</v>
      </c>
      <c r="I31" s="32">
        <f t="shared" ca="1" si="2"/>
        <v>3.7590006429822948E-3</v>
      </c>
      <c r="J31" s="32">
        <f t="shared" ca="1" si="3"/>
        <v>1.5982927338279589E-2</v>
      </c>
      <c r="K31" s="32">
        <f t="shared" ca="1" si="4"/>
        <v>-2.0255888966422501E-2</v>
      </c>
      <c r="L31" s="32">
        <f t="shared" ca="1" si="5"/>
        <v>7.5213930148998066E-3</v>
      </c>
      <c r="M31" s="32">
        <f t="shared" ca="1" si="6"/>
        <v>-2.5190927531238473E-3</v>
      </c>
      <c r="N31" s="31"/>
      <c r="Q31" s="4" t="s">
        <v>147</v>
      </c>
      <c r="R31" s="39"/>
      <c r="T31" s="36" t="s">
        <v>145</v>
      </c>
      <c r="U31" s="36" t="s">
        <v>136</v>
      </c>
    </row>
    <row r="32" spans="1:24" x14ac:dyDescent="0.3">
      <c r="A32" s="36"/>
      <c r="B32" s="35">
        <f t="shared" ref="B32:F41" ca="1" si="11">_xlfn.NORM.INV(RAND(),100,1)</f>
        <v>100.04712018688204</v>
      </c>
      <c r="C32" s="35">
        <f t="shared" ca="1" si="11"/>
        <v>99.383735885518476</v>
      </c>
      <c r="D32" s="35">
        <f t="shared" ca="1" si="11"/>
        <v>100.84778738591942</v>
      </c>
      <c r="E32" s="35">
        <f t="shared" ca="1" si="11"/>
        <v>99.819458401352108</v>
      </c>
      <c r="F32" s="35">
        <f t="shared" ca="1" si="11"/>
        <v>100.68644585266567</v>
      </c>
      <c r="G32" s="34"/>
      <c r="H32" s="33">
        <f t="shared" si="1"/>
        <v>0</v>
      </c>
      <c r="I32" s="32">
        <f t="shared" ca="1" si="2"/>
        <v>8.3689273995720664E-3</v>
      </c>
      <c r="J32" s="32">
        <f t="shared" ca="1" si="3"/>
        <v>-1.0755570647291815E-2</v>
      </c>
      <c r="K32" s="32">
        <f t="shared" ca="1" si="4"/>
        <v>1.5284255385078932E-2</v>
      </c>
      <c r="L32" s="32">
        <f t="shared" ca="1" si="5"/>
        <v>-9.3522760452957685E-3</v>
      </c>
      <c r="M32" s="32">
        <f t="shared" ca="1" si="6"/>
        <v>9.5102162502809316E-3</v>
      </c>
      <c r="N32" s="31"/>
      <c r="Q32" s="4" t="s">
        <v>146</v>
      </c>
      <c r="R32" s="39"/>
      <c r="T32" s="38"/>
      <c r="U32" s="38"/>
    </row>
    <row r="33" spans="1:18" x14ac:dyDescent="0.3">
      <c r="A33" s="36"/>
      <c r="B33" s="35">
        <f t="shared" ca="1" si="11"/>
        <v>100.58532372839501</v>
      </c>
      <c r="C33" s="35">
        <f t="shared" ca="1" si="11"/>
        <v>99.063426428191676</v>
      </c>
      <c r="D33" s="35">
        <f t="shared" ca="1" si="11"/>
        <v>99.84384028607252</v>
      </c>
      <c r="E33" s="35">
        <f t="shared" ca="1" si="11"/>
        <v>99.706221509630524</v>
      </c>
      <c r="F33" s="35">
        <f t="shared" ca="1" si="11"/>
        <v>99.262115110314099</v>
      </c>
      <c r="G33" s="34"/>
      <c r="H33" s="33">
        <f t="shared" si="1"/>
        <v>0</v>
      </c>
      <c r="I33" s="32">
        <f t="shared" ca="1" si="2"/>
        <v>5.3650827551658658E-3</v>
      </c>
      <c r="J33" s="32">
        <f t="shared" ca="1" si="3"/>
        <v>-3.2281614083567896E-3</v>
      </c>
      <c r="K33" s="32">
        <f t="shared" ca="1" si="4"/>
        <v>-1.0004956220641518E-2</v>
      </c>
      <c r="L33" s="32">
        <f t="shared" ca="1" si="5"/>
        <v>-1.1350609498449612E-3</v>
      </c>
      <c r="M33" s="32">
        <f t="shared" ca="1" si="6"/>
        <v>-1.4247212666387026E-2</v>
      </c>
      <c r="N33" s="31"/>
      <c r="Q33" s="4" t="s">
        <v>145</v>
      </c>
      <c r="R33" s="39"/>
    </row>
    <row r="34" spans="1:18" x14ac:dyDescent="0.3">
      <c r="A34" s="36"/>
      <c r="B34" s="35">
        <f t="shared" ca="1" si="11"/>
        <v>99.160483871259459</v>
      </c>
      <c r="C34" s="35">
        <f t="shared" ca="1" si="11"/>
        <v>100.13592931266102</v>
      </c>
      <c r="D34" s="35">
        <f t="shared" ca="1" si="11"/>
        <v>99.288198453026155</v>
      </c>
      <c r="E34" s="35">
        <f t="shared" ca="1" si="11"/>
        <v>101.62464555640872</v>
      </c>
      <c r="F34" s="35">
        <f t="shared" ca="1" si="11"/>
        <v>101.34541337063254</v>
      </c>
      <c r="G34" s="34"/>
      <c r="H34" s="33">
        <f t="shared" si="1"/>
        <v>0</v>
      </c>
      <c r="I34" s="32">
        <f t="shared" ca="1" si="2"/>
        <v>-1.4266772774162275E-2</v>
      </c>
      <c r="J34" s="32">
        <f t="shared" ca="1" si="3"/>
        <v>1.0768240127746067E-2</v>
      </c>
      <c r="K34" s="32">
        <f t="shared" ca="1" si="4"/>
        <v>-5.5806516984869929E-3</v>
      </c>
      <c r="L34" s="32">
        <f t="shared" ca="1" si="5"/>
        <v>1.9058002778011843E-2</v>
      </c>
      <c r="M34" s="32">
        <f t="shared" ca="1" si="6"/>
        <v>2.0770637807018807E-2</v>
      </c>
      <c r="N34" s="31"/>
    </row>
    <row r="35" spans="1:18" x14ac:dyDescent="0.3">
      <c r="A35" s="36"/>
      <c r="B35" s="35">
        <f t="shared" ca="1" si="11"/>
        <v>101.82644547842152</v>
      </c>
      <c r="C35" s="35">
        <f t="shared" ca="1" si="11"/>
        <v>98.660609570344874</v>
      </c>
      <c r="D35" s="35">
        <f t="shared" ca="1" si="11"/>
        <v>100.29206106174088</v>
      </c>
      <c r="E35" s="35">
        <f t="shared" ca="1" si="11"/>
        <v>100.01886724007683</v>
      </c>
      <c r="F35" s="35">
        <f t="shared" ca="1" si="11"/>
        <v>100.80726031382487</v>
      </c>
      <c r="G35" s="34"/>
      <c r="H35" s="33">
        <f t="shared" ref="H35:H64" si="12">+A35</f>
        <v>0</v>
      </c>
      <c r="I35" s="32">
        <f t="shared" ref="I35:I64" ca="1" si="13">+LN(B35/B34)</f>
        <v>2.6530262289004559E-2</v>
      </c>
      <c r="J35" s="32">
        <f t="shared" ref="J35:J64" ca="1" si="14">+LN(C35/C34)</f>
        <v>-1.4842781830334681E-2</v>
      </c>
      <c r="K35" s="32">
        <f t="shared" ref="K35:K64" ca="1" si="15">+LN(D35/D34)</f>
        <v>1.0059823321734473E-2</v>
      </c>
      <c r="L35" s="32">
        <f t="shared" ref="L35:L64" ca="1" si="16">+LN(E35/E34)</f>
        <v>-1.5927239509615925E-2</v>
      </c>
      <c r="M35" s="32">
        <f t="shared" ref="M35:M64" ca="1" si="17">+LN(F35/F34)</f>
        <v>-5.3242365611382899E-3</v>
      </c>
      <c r="N35" s="31"/>
    </row>
    <row r="36" spans="1:18" x14ac:dyDescent="0.3">
      <c r="A36" s="36"/>
      <c r="B36" s="35">
        <f t="shared" ca="1" si="11"/>
        <v>100.54013015332089</v>
      </c>
      <c r="C36" s="35">
        <f t="shared" ca="1" si="11"/>
        <v>100.22096813649586</v>
      </c>
      <c r="D36" s="35">
        <f t="shared" ca="1" si="11"/>
        <v>100.7279497938768</v>
      </c>
      <c r="E36" s="35">
        <f t="shared" ca="1" si="11"/>
        <v>99.649664268314666</v>
      </c>
      <c r="F36" s="35">
        <f t="shared" ca="1" si="11"/>
        <v>99.432204191242448</v>
      </c>
      <c r="G36" s="34"/>
      <c r="H36" s="33">
        <f t="shared" si="12"/>
        <v>0</v>
      </c>
      <c r="I36" s="32">
        <f t="shared" ca="1" si="13"/>
        <v>-1.2712896339911217E-2</v>
      </c>
      <c r="J36" s="32">
        <f t="shared" ca="1" si="14"/>
        <v>1.5691655315839631E-2</v>
      </c>
      <c r="K36" s="32">
        <f t="shared" ca="1" si="15"/>
        <v>4.3367763582327851E-3</v>
      </c>
      <c r="L36" s="32">
        <f t="shared" ca="1" si="16"/>
        <v>-3.6981630480663716E-3</v>
      </c>
      <c r="M36" s="32">
        <f t="shared" ca="1" si="17"/>
        <v>-1.3734332948477581E-2</v>
      </c>
      <c r="N36" s="31"/>
      <c r="Q36" s="36" t="s">
        <v>145</v>
      </c>
      <c r="R36" s="36" t="s">
        <v>136</v>
      </c>
    </row>
    <row r="37" spans="1:18" x14ac:dyDescent="0.3">
      <c r="A37" s="36"/>
      <c r="B37" s="35">
        <f t="shared" ca="1" si="11"/>
        <v>98.595090627407743</v>
      </c>
      <c r="C37" s="35">
        <f t="shared" ca="1" si="11"/>
        <v>99.510729890029012</v>
      </c>
      <c r="D37" s="35">
        <f t="shared" ca="1" si="11"/>
        <v>98.761832242110202</v>
      </c>
      <c r="E37" s="35">
        <f t="shared" ca="1" si="11"/>
        <v>97.634982096974625</v>
      </c>
      <c r="F37" s="35">
        <f t="shared" ca="1" si="11"/>
        <v>100.52261809749285</v>
      </c>
      <c r="G37" s="34"/>
      <c r="H37" s="33">
        <f t="shared" si="12"/>
        <v>0</v>
      </c>
      <c r="I37" s="32">
        <f t="shared" ca="1" si="13"/>
        <v>-1.95354832343646E-2</v>
      </c>
      <c r="J37" s="32">
        <f t="shared" ca="1" si="14"/>
        <v>-7.1119531564485449E-3</v>
      </c>
      <c r="K37" s="32">
        <f t="shared" ca="1" si="15"/>
        <v>-1.971209948999739E-2</v>
      </c>
      <c r="L37" s="32">
        <f t="shared" ca="1" si="16"/>
        <v>-2.0424825218831315E-2</v>
      </c>
      <c r="M37" s="32">
        <f t="shared" ca="1" si="17"/>
        <v>1.0906710856500301E-2</v>
      </c>
      <c r="N37" s="31"/>
      <c r="Q37" s="38"/>
      <c r="R37" s="38"/>
    </row>
    <row r="38" spans="1:18" x14ac:dyDescent="0.3">
      <c r="A38" s="36"/>
      <c r="B38" s="35">
        <f t="shared" ca="1" si="11"/>
        <v>99.027639093416425</v>
      </c>
      <c r="C38" s="35">
        <f t="shared" ca="1" si="11"/>
        <v>100.20711668672067</v>
      </c>
      <c r="D38" s="35">
        <f t="shared" ca="1" si="11"/>
        <v>100.31846907268313</v>
      </c>
      <c r="E38" s="35">
        <f t="shared" ca="1" si="11"/>
        <v>101.95920727653036</v>
      </c>
      <c r="F38" s="35">
        <f t="shared" ca="1" si="11"/>
        <v>98.142519135314089</v>
      </c>
      <c r="G38" s="34"/>
      <c r="H38" s="33">
        <f t="shared" si="12"/>
        <v>0</v>
      </c>
      <c r="I38" s="32">
        <f t="shared" ca="1" si="13"/>
        <v>4.3775243602114855E-3</v>
      </c>
      <c r="J38" s="32">
        <f t="shared" ca="1" si="14"/>
        <v>6.9737345050109589E-3</v>
      </c>
      <c r="K38" s="32">
        <f t="shared" ca="1" si="15"/>
        <v>1.5638599551771961E-2</v>
      </c>
      <c r="L38" s="32">
        <f t="shared" ca="1" si="16"/>
        <v>4.3336952304445613E-2</v>
      </c>
      <c r="M38" s="32">
        <f t="shared" ca="1" si="17"/>
        <v>-2.3962058749338162E-2</v>
      </c>
      <c r="N38" s="31"/>
      <c r="Q38" s="38"/>
      <c r="R38" s="37"/>
    </row>
    <row r="39" spans="1:18" x14ac:dyDescent="0.3">
      <c r="A39" s="36"/>
      <c r="B39" s="35">
        <f t="shared" ca="1" si="11"/>
        <v>99.879058166293106</v>
      </c>
      <c r="C39" s="35">
        <f t="shared" ca="1" si="11"/>
        <v>101.65848585662908</v>
      </c>
      <c r="D39" s="35">
        <f t="shared" ca="1" si="11"/>
        <v>101.27425728096667</v>
      </c>
      <c r="E39" s="35">
        <f t="shared" ca="1" si="11"/>
        <v>99.976418176312535</v>
      </c>
      <c r="F39" s="35">
        <f t="shared" ca="1" si="11"/>
        <v>101.33914858871347</v>
      </c>
      <c r="G39" s="34"/>
      <c r="H39" s="33">
        <f t="shared" si="12"/>
        <v>0</v>
      </c>
      <c r="I39" s="32">
        <f t="shared" ca="1" si="13"/>
        <v>8.5610417823442399E-3</v>
      </c>
      <c r="J39" s="32">
        <f t="shared" ca="1" si="14"/>
        <v>1.4379806771491291E-2</v>
      </c>
      <c r="K39" s="32">
        <f t="shared" ca="1" si="15"/>
        <v>9.4824390476164234E-3</v>
      </c>
      <c r="L39" s="32">
        <f t="shared" ca="1" si="16"/>
        <v>-1.9638464688284347E-2</v>
      </c>
      <c r="M39" s="32">
        <f t="shared" ca="1" si="17"/>
        <v>3.2052099355134145E-2</v>
      </c>
      <c r="N39" s="31"/>
      <c r="Q39" s="38"/>
      <c r="R39" s="37"/>
    </row>
    <row r="40" spans="1:18" x14ac:dyDescent="0.3">
      <c r="A40" s="36"/>
      <c r="B40" s="35">
        <f t="shared" ca="1" si="11"/>
        <v>101.78810345724428</v>
      </c>
      <c r="C40" s="35">
        <f t="shared" ca="1" si="11"/>
        <v>98.598770761539384</v>
      </c>
      <c r="D40" s="35">
        <f t="shared" ca="1" si="11"/>
        <v>99.443807184739839</v>
      </c>
      <c r="E40" s="35">
        <f t="shared" ca="1" si="11"/>
        <v>99.730969049513007</v>
      </c>
      <c r="F40" s="35">
        <f t="shared" ca="1" si="11"/>
        <v>101.47839662210318</v>
      </c>
      <c r="G40" s="34"/>
      <c r="H40" s="33">
        <f t="shared" si="12"/>
        <v>0</v>
      </c>
      <c r="I40" s="32">
        <f t="shared" ca="1" si="13"/>
        <v>1.8933199659955099E-2</v>
      </c>
      <c r="J40" s="32">
        <f t="shared" ca="1" si="14"/>
        <v>-3.0560223108314553E-2</v>
      </c>
      <c r="K40" s="32">
        <f t="shared" ca="1" si="15"/>
        <v>-1.8239522656067184E-2</v>
      </c>
      <c r="L40" s="32">
        <f t="shared" ca="1" si="16"/>
        <v>-2.4580888448528875E-3</v>
      </c>
      <c r="M40" s="32">
        <f t="shared" ca="1" si="17"/>
        <v>1.3731361862637801E-3</v>
      </c>
      <c r="N40" s="31"/>
      <c r="Q40" s="38"/>
      <c r="R40" s="37"/>
    </row>
    <row r="41" spans="1:18" x14ac:dyDescent="0.3">
      <c r="A41" s="36"/>
      <c r="B41" s="35">
        <f t="shared" ca="1" si="11"/>
        <v>99.927192527793252</v>
      </c>
      <c r="C41" s="35">
        <f t="shared" ca="1" si="11"/>
        <v>101.62366223696414</v>
      </c>
      <c r="D41" s="35">
        <f t="shared" ca="1" si="11"/>
        <v>101.15849602413394</v>
      </c>
      <c r="E41" s="35">
        <f t="shared" ca="1" si="11"/>
        <v>101.84398634287211</v>
      </c>
      <c r="F41" s="35">
        <f t="shared" ca="1" si="11"/>
        <v>100.1997125311126</v>
      </c>
      <c r="G41" s="34"/>
      <c r="H41" s="33">
        <f t="shared" si="12"/>
        <v>0</v>
      </c>
      <c r="I41" s="32">
        <f t="shared" ca="1" si="13"/>
        <v>-1.8451389283511779E-2</v>
      </c>
      <c r="J41" s="32">
        <f t="shared" ca="1" si="14"/>
        <v>3.0217609452052263E-2</v>
      </c>
      <c r="K41" s="32">
        <f t="shared" ca="1" si="15"/>
        <v>1.709582167328463E-2</v>
      </c>
      <c r="L41" s="32">
        <f t="shared" ca="1" si="16"/>
        <v>2.0965845580157353E-2</v>
      </c>
      <c r="M41" s="32">
        <f t="shared" ca="1" si="17"/>
        <v>-1.2680614970725548E-2</v>
      </c>
      <c r="N41" s="31"/>
      <c r="Q41" s="38"/>
      <c r="R41" s="37"/>
    </row>
    <row r="42" spans="1:18" x14ac:dyDescent="0.3">
      <c r="A42" s="36"/>
      <c r="B42" s="35">
        <f t="shared" ref="B42:F51" ca="1" si="18">_xlfn.NORM.INV(RAND(),100,1)</f>
        <v>100.59811980236462</v>
      </c>
      <c r="C42" s="35">
        <f t="shared" ca="1" si="18"/>
        <v>98.818323532469421</v>
      </c>
      <c r="D42" s="35">
        <f t="shared" ca="1" si="18"/>
        <v>99.838179991581981</v>
      </c>
      <c r="E42" s="35">
        <f t="shared" ca="1" si="18"/>
        <v>98.45960356517736</v>
      </c>
      <c r="F42" s="35">
        <f t="shared" ca="1" si="18"/>
        <v>99.459766920702393</v>
      </c>
      <c r="G42" s="34"/>
      <c r="H42" s="33">
        <f t="shared" si="12"/>
        <v>0</v>
      </c>
      <c r="I42" s="32">
        <f t="shared" ca="1" si="13"/>
        <v>6.6917215627478018E-3</v>
      </c>
      <c r="J42" s="32">
        <f t="shared" ca="1" si="14"/>
        <v>-2.7993355648384545E-2</v>
      </c>
      <c r="K42" s="32">
        <f t="shared" ca="1" si="15"/>
        <v>-1.3137879189260248E-2</v>
      </c>
      <c r="L42" s="32">
        <f t="shared" ca="1" si="16"/>
        <v>-3.3795748709159169E-2</v>
      </c>
      <c r="M42" s="32">
        <f t="shared" ca="1" si="17"/>
        <v>-7.4121098594233789E-3</v>
      </c>
      <c r="N42" s="31"/>
      <c r="Q42" s="38"/>
      <c r="R42" s="37"/>
    </row>
    <row r="43" spans="1:18" x14ac:dyDescent="0.3">
      <c r="A43" s="36"/>
      <c r="B43" s="35">
        <f t="shared" ca="1" si="18"/>
        <v>98.204108106401236</v>
      </c>
      <c r="C43" s="35">
        <f t="shared" ca="1" si="18"/>
        <v>98.526527946628619</v>
      </c>
      <c r="D43" s="35">
        <f t="shared" ca="1" si="18"/>
        <v>100.25311028493515</v>
      </c>
      <c r="E43" s="35">
        <f t="shared" ca="1" si="18"/>
        <v>98.234801611285533</v>
      </c>
      <c r="F43" s="35">
        <f t="shared" ca="1" si="18"/>
        <v>100.08416047300607</v>
      </c>
      <c r="G43" s="34"/>
      <c r="H43" s="33">
        <f t="shared" si="12"/>
        <v>0</v>
      </c>
      <c r="I43" s="32">
        <f t="shared" ca="1" si="13"/>
        <v>-2.4085519090846535E-2</v>
      </c>
      <c r="J43" s="32">
        <f t="shared" ca="1" si="14"/>
        <v>-2.9572172398018267E-3</v>
      </c>
      <c r="K43" s="32">
        <f t="shared" ca="1" si="15"/>
        <v>4.1474157875595798E-3</v>
      </c>
      <c r="L43" s="32">
        <f t="shared" ca="1" si="16"/>
        <v>-2.2858001636646072E-3</v>
      </c>
      <c r="M43" s="32">
        <f t="shared" ca="1" si="17"/>
        <v>6.2582269312147325E-3</v>
      </c>
      <c r="N43" s="31"/>
      <c r="Q43" s="38"/>
      <c r="R43" s="37"/>
    </row>
    <row r="44" spans="1:18" x14ac:dyDescent="0.3">
      <c r="A44" s="36"/>
      <c r="B44" s="35">
        <f t="shared" ca="1" si="18"/>
        <v>99.354919602296576</v>
      </c>
      <c r="C44" s="35">
        <f t="shared" ca="1" si="18"/>
        <v>100.75434125494259</v>
      </c>
      <c r="D44" s="35">
        <f t="shared" ca="1" si="18"/>
        <v>98.999421750769372</v>
      </c>
      <c r="E44" s="35">
        <f t="shared" ca="1" si="18"/>
        <v>100.18105677129191</v>
      </c>
      <c r="F44" s="35">
        <f t="shared" ca="1" si="18"/>
        <v>99.369765501667672</v>
      </c>
      <c r="G44" s="34"/>
      <c r="H44" s="33">
        <f t="shared" si="12"/>
        <v>0</v>
      </c>
      <c r="I44" s="32">
        <f t="shared" ca="1" si="13"/>
        <v>1.1650437098296225E-2</v>
      </c>
      <c r="J44" s="32">
        <f t="shared" ca="1" si="14"/>
        <v>2.2359458104318886E-2</v>
      </c>
      <c r="K44" s="32">
        <f t="shared" ca="1" si="15"/>
        <v>-1.2584081775328101E-2</v>
      </c>
      <c r="L44" s="32">
        <f t="shared" ca="1" si="16"/>
        <v>1.9618568794842004E-2</v>
      </c>
      <c r="M44" s="32">
        <f t="shared" ca="1" si="17"/>
        <v>-7.1635393773614945E-3</v>
      </c>
      <c r="N44" s="31"/>
      <c r="Q44" s="38"/>
      <c r="R44" s="37"/>
    </row>
    <row r="45" spans="1:18" x14ac:dyDescent="0.3">
      <c r="A45" s="36"/>
      <c r="B45" s="35">
        <f t="shared" ca="1" si="18"/>
        <v>101.08134671004814</v>
      </c>
      <c r="C45" s="35">
        <f t="shared" ca="1" si="18"/>
        <v>99.817619182697172</v>
      </c>
      <c r="D45" s="35">
        <f t="shared" ca="1" si="18"/>
        <v>100.4048970275006</v>
      </c>
      <c r="E45" s="35">
        <f t="shared" ca="1" si="18"/>
        <v>101.57846238033842</v>
      </c>
      <c r="F45" s="35">
        <f t="shared" ca="1" si="18"/>
        <v>100.61636320185973</v>
      </c>
      <c r="G45" s="34"/>
      <c r="H45" s="33">
        <f t="shared" si="12"/>
        <v>0</v>
      </c>
      <c r="I45" s="32">
        <f t="shared" ca="1" si="13"/>
        <v>1.7227119979954152E-2</v>
      </c>
      <c r="J45" s="32">
        <f t="shared" ca="1" si="14"/>
        <v>-9.3405766255507984E-3</v>
      </c>
      <c r="K45" s="32">
        <f t="shared" ca="1" si="15"/>
        <v>1.409697202625515E-2</v>
      </c>
      <c r="L45" s="32">
        <f t="shared" ca="1" si="16"/>
        <v>1.3852411627968022E-2</v>
      </c>
      <c r="M45" s="32">
        <f t="shared" ca="1" si="17"/>
        <v>1.2467003130570344E-2</v>
      </c>
      <c r="N45" s="31"/>
      <c r="Q45" s="38"/>
      <c r="R45" s="37"/>
    </row>
    <row r="46" spans="1:18" x14ac:dyDescent="0.3">
      <c r="A46" s="36"/>
      <c r="B46" s="35">
        <f t="shared" ca="1" si="18"/>
        <v>100.03235834202736</v>
      </c>
      <c r="C46" s="35">
        <f t="shared" ca="1" si="18"/>
        <v>99.632515469136621</v>
      </c>
      <c r="D46" s="35">
        <f t="shared" ca="1" si="18"/>
        <v>100.01981721496036</v>
      </c>
      <c r="E46" s="35">
        <f t="shared" ca="1" si="18"/>
        <v>100.0343966067024</v>
      </c>
      <c r="F46" s="35">
        <f t="shared" ca="1" si="18"/>
        <v>101.26745512777532</v>
      </c>
      <c r="G46" s="34"/>
      <c r="H46" s="33">
        <f t="shared" si="12"/>
        <v>0</v>
      </c>
      <c r="I46" s="32">
        <f t="shared" ca="1" si="13"/>
        <v>-1.0431888574514636E-2</v>
      </c>
      <c r="J46" s="32">
        <f t="shared" ca="1" si="14"/>
        <v>-1.8561408045961545E-3</v>
      </c>
      <c r="K46" s="32">
        <f t="shared" ca="1" si="15"/>
        <v>-3.8426427382790445E-3</v>
      </c>
      <c r="L46" s="32">
        <f t="shared" ca="1" si="16"/>
        <v>-1.5317435314665742E-2</v>
      </c>
      <c r="M46" s="32">
        <f t="shared" ca="1" si="17"/>
        <v>6.4501869311395831E-3</v>
      </c>
      <c r="N46" s="31"/>
      <c r="Q46" s="38"/>
      <c r="R46" s="37"/>
    </row>
    <row r="47" spans="1:18" x14ac:dyDescent="0.3">
      <c r="A47" s="36"/>
      <c r="B47" s="35">
        <f t="shared" ca="1" si="18"/>
        <v>99.746808771292265</v>
      </c>
      <c r="C47" s="35">
        <f t="shared" ca="1" si="18"/>
        <v>99.362951151655025</v>
      </c>
      <c r="D47" s="35">
        <f t="shared" ca="1" si="18"/>
        <v>101.33252203011938</v>
      </c>
      <c r="E47" s="35">
        <f t="shared" ca="1" si="18"/>
        <v>100.75188598956068</v>
      </c>
      <c r="F47" s="35">
        <f t="shared" ca="1" si="18"/>
        <v>98.096968191275337</v>
      </c>
      <c r="G47" s="34"/>
      <c r="H47" s="33">
        <f t="shared" si="12"/>
        <v>0</v>
      </c>
      <c r="I47" s="32">
        <f t="shared" ca="1" si="13"/>
        <v>-2.8586540760784694E-3</v>
      </c>
      <c r="J47" s="32">
        <f t="shared" ca="1" si="14"/>
        <v>-2.7092524964890076E-3</v>
      </c>
      <c r="K47" s="32">
        <f t="shared" ca="1" si="15"/>
        <v>1.3039067920156636E-2</v>
      </c>
      <c r="L47" s="32">
        <f t="shared" ca="1" si="16"/>
        <v>7.1468272385967818E-3</v>
      </c>
      <c r="M47" s="32">
        <f t="shared" ca="1" si="17"/>
        <v>-3.1808626645790927E-2</v>
      </c>
      <c r="N47" s="31"/>
      <c r="Q47" s="38"/>
      <c r="R47" s="37"/>
    </row>
    <row r="48" spans="1:18" x14ac:dyDescent="0.3">
      <c r="A48" s="36"/>
      <c r="B48" s="35">
        <f t="shared" ca="1" si="18"/>
        <v>98.832897200952019</v>
      </c>
      <c r="C48" s="35">
        <f t="shared" ca="1" si="18"/>
        <v>100.93562564282628</v>
      </c>
      <c r="D48" s="35">
        <f t="shared" ca="1" si="18"/>
        <v>98.634074864849254</v>
      </c>
      <c r="E48" s="35">
        <f t="shared" ca="1" si="18"/>
        <v>99.09341194148972</v>
      </c>
      <c r="F48" s="35">
        <f t="shared" ca="1" si="18"/>
        <v>101.08303017982853</v>
      </c>
      <c r="G48" s="34"/>
      <c r="H48" s="33">
        <f t="shared" si="12"/>
        <v>0</v>
      </c>
      <c r="I48" s="32">
        <f t="shared" ca="1" si="13"/>
        <v>-9.2045460370848743E-3</v>
      </c>
      <c r="J48" s="32">
        <f t="shared" ca="1" si="14"/>
        <v>1.5703624410806537E-2</v>
      </c>
      <c r="K48" s="32">
        <f t="shared" ca="1" si="15"/>
        <v>-2.6990617652544482E-2</v>
      </c>
      <c r="L48" s="32">
        <f t="shared" ca="1" si="16"/>
        <v>-1.6597959919982901E-2</v>
      </c>
      <c r="M48" s="32">
        <f t="shared" ca="1" si="17"/>
        <v>2.9985799300136996E-2</v>
      </c>
      <c r="N48" s="31"/>
      <c r="Q48" s="38"/>
      <c r="R48" s="37"/>
    </row>
    <row r="49" spans="1:18" x14ac:dyDescent="0.3">
      <c r="A49" s="36"/>
      <c r="B49" s="35">
        <f t="shared" ca="1" si="18"/>
        <v>101.50062259231206</v>
      </c>
      <c r="C49" s="35">
        <f t="shared" ca="1" si="18"/>
        <v>98.936279163748779</v>
      </c>
      <c r="D49" s="35">
        <f t="shared" ca="1" si="18"/>
        <v>101.357491139884</v>
      </c>
      <c r="E49" s="35">
        <f t="shared" ca="1" si="18"/>
        <v>100.33734286931902</v>
      </c>
      <c r="F49" s="35">
        <f t="shared" ca="1" si="18"/>
        <v>100.13115617915545</v>
      </c>
      <c r="G49" s="34"/>
      <c r="H49" s="33">
        <f t="shared" si="12"/>
        <v>0</v>
      </c>
      <c r="I49" s="32">
        <f t="shared" ca="1" si="13"/>
        <v>2.6634415424056455E-2</v>
      </c>
      <c r="J49" s="32">
        <f t="shared" ca="1" si="14"/>
        <v>-2.0006945666000336E-2</v>
      </c>
      <c r="K49" s="32">
        <f t="shared" ca="1" si="15"/>
        <v>2.7236994960438611E-2</v>
      </c>
      <c r="L49" s="32">
        <f t="shared" ca="1" si="16"/>
        <v>1.2474977204018323E-2</v>
      </c>
      <c r="M49" s="32">
        <f t="shared" ca="1" si="17"/>
        <v>-9.461371672375516E-3</v>
      </c>
      <c r="N49" s="31"/>
      <c r="Q49" s="38"/>
      <c r="R49" s="37"/>
    </row>
    <row r="50" spans="1:18" x14ac:dyDescent="0.3">
      <c r="A50" s="36"/>
      <c r="B50" s="35">
        <f t="shared" ca="1" si="18"/>
        <v>100.75078517502615</v>
      </c>
      <c r="C50" s="35">
        <f t="shared" ca="1" si="18"/>
        <v>101.07399812262929</v>
      </c>
      <c r="D50" s="35">
        <f t="shared" ca="1" si="18"/>
        <v>100.97666371085111</v>
      </c>
      <c r="E50" s="35">
        <f t="shared" ca="1" si="18"/>
        <v>98.199759249475349</v>
      </c>
      <c r="F50" s="35">
        <f t="shared" ca="1" si="18"/>
        <v>100.1752251057371</v>
      </c>
      <c r="G50" s="34"/>
      <c r="H50" s="33">
        <f t="shared" si="12"/>
        <v>0</v>
      </c>
      <c r="I50" s="32">
        <f t="shared" ca="1" si="13"/>
        <v>-7.4149382805016838E-3</v>
      </c>
      <c r="J50" s="32">
        <f t="shared" ca="1" si="14"/>
        <v>2.1376905164613137E-2</v>
      </c>
      <c r="K50" s="32">
        <f t="shared" ca="1" si="15"/>
        <v>-3.7643459555010751E-3</v>
      </c>
      <c r="L50" s="32">
        <f t="shared" ca="1" si="16"/>
        <v>-2.1534173712237363E-2</v>
      </c>
      <c r="M50" s="32">
        <f t="shared" ca="1" si="17"/>
        <v>4.4001521079846249E-4</v>
      </c>
      <c r="N50" s="31"/>
      <c r="Q50" s="38"/>
      <c r="R50" s="37"/>
    </row>
    <row r="51" spans="1:18" x14ac:dyDescent="0.3">
      <c r="A51" s="36"/>
      <c r="B51" s="35">
        <f t="shared" ca="1" si="18"/>
        <v>100.24251921926623</v>
      </c>
      <c r="C51" s="35">
        <f t="shared" ca="1" si="18"/>
        <v>99.455183351381976</v>
      </c>
      <c r="D51" s="35">
        <f t="shared" ca="1" si="18"/>
        <v>100.16909551310982</v>
      </c>
      <c r="E51" s="35">
        <f t="shared" ca="1" si="18"/>
        <v>100.07958048869918</v>
      </c>
      <c r="F51" s="35">
        <f t="shared" ca="1" si="18"/>
        <v>100.22516283778741</v>
      </c>
      <c r="G51" s="34"/>
      <c r="H51" s="33">
        <f t="shared" si="12"/>
        <v>0</v>
      </c>
      <c r="I51" s="32">
        <f t="shared" ca="1" si="13"/>
        <v>-5.0575519487604179E-3</v>
      </c>
      <c r="J51" s="32">
        <f t="shared" ca="1" si="14"/>
        <v>-1.6145779143784691E-2</v>
      </c>
      <c r="K51" s="32">
        <f t="shared" ca="1" si="15"/>
        <v>-8.0297247125514764E-3</v>
      </c>
      <c r="L51" s="32">
        <f t="shared" ca="1" si="16"/>
        <v>1.8961910667525356E-2</v>
      </c>
      <c r="M51" s="32">
        <f t="shared" ca="1" si="17"/>
        <v>4.9837960491385747E-4</v>
      </c>
      <c r="N51" s="31"/>
    </row>
    <row r="52" spans="1:18" x14ac:dyDescent="0.3">
      <c r="A52" s="36"/>
      <c r="B52" s="35">
        <f t="shared" ref="B52:F64" ca="1" si="19">_xlfn.NORM.INV(RAND(),100,1)</f>
        <v>101.09326956104195</v>
      </c>
      <c r="C52" s="35">
        <f t="shared" ca="1" si="19"/>
        <v>100.2904796353982</v>
      </c>
      <c r="D52" s="35">
        <f t="shared" ca="1" si="19"/>
        <v>101.31587986017456</v>
      </c>
      <c r="E52" s="35">
        <f t="shared" ca="1" si="19"/>
        <v>99.180074171437568</v>
      </c>
      <c r="F52" s="35">
        <f t="shared" ca="1" si="19"/>
        <v>101.1393684031313</v>
      </c>
      <c r="G52" s="34"/>
      <c r="H52" s="33">
        <f t="shared" si="12"/>
        <v>0</v>
      </c>
      <c r="I52" s="32">
        <f t="shared" ca="1" si="13"/>
        <v>8.4511095657145898E-3</v>
      </c>
      <c r="J52" s="32">
        <f t="shared" ca="1" si="14"/>
        <v>8.3636474569038048E-3</v>
      </c>
      <c r="K52" s="32">
        <f t="shared" ca="1" si="15"/>
        <v>1.1383446617257889E-2</v>
      </c>
      <c r="L52" s="32">
        <f t="shared" ca="1" si="16"/>
        <v>-9.0285454828427907E-3</v>
      </c>
      <c r="M52" s="32">
        <f t="shared" ca="1" si="17"/>
        <v>9.0801676046231468E-3</v>
      </c>
      <c r="N52" s="31"/>
    </row>
    <row r="53" spans="1:18" x14ac:dyDescent="0.3">
      <c r="A53" s="36"/>
      <c r="B53" s="35">
        <f t="shared" ca="1" si="19"/>
        <v>100.9128645907761</v>
      </c>
      <c r="C53" s="35">
        <f t="shared" ca="1" si="19"/>
        <v>100.00826889714486</v>
      </c>
      <c r="D53" s="35">
        <f t="shared" ca="1" si="19"/>
        <v>100.37247421825208</v>
      </c>
      <c r="E53" s="35">
        <f t="shared" ca="1" si="19"/>
        <v>99.612888605215502</v>
      </c>
      <c r="F53" s="35">
        <f t="shared" ca="1" si="19"/>
        <v>100.42079363253248</v>
      </c>
      <c r="G53" s="34"/>
      <c r="H53" s="33">
        <f t="shared" si="12"/>
        <v>0</v>
      </c>
      <c r="I53" s="32">
        <f t="shared" ca="1" si="13"/>
        <v>-1.7861340595930249E-3</v>
      </c>
      <c r="J53" s="32">
        <f t="shared" ca="1" si="14"/>
        <v>-2.8179000324616049E-3</v>
      </c>
      <c r="K53" s="32">
        <f t="shared" ca="1" si="15"/>
        <v>-9.3551511856485078E-3</v>
      </c>
      <c r="L53" s="32">
        <f t="shared" ca="1" si="16"/>
        <v>4.3544309780157242E-3</v>
      </c>
      <c r="M53" s="32">
        <f t="shared" ca="1" si="17"/>
        <v>-7.1301571466233869E-3</v>
      </c>
      <c r="N53" s="31"/>
    </row>
    <row r="54" spans="1:18" x14ac:dyDescent="0.3">
      <c r="A54" s="36"/>
      <c r="B54" s="35">
        <f t="shared" ca="1" si="19"/>
        <v>97.663121739933445</v>
      </c>
      <c r="C54" s="35">
        <f t="shared" ca="1" si="19"/>
        <v>100.47485207140672</v>
      </c>
      <c r="D54" s="35">
        <f t="shared" ca="1" si="19"/>
        <v>100.61449582003446</v>
      </c>
      <c r="E54" s="35">
        <f t="shared" ca="1" si="19"/>
        <v>101.66974903421719</v>
      </c>
      <c r="F54" s="35">
        <f t="shared" ca="1" si="19"/>
        <v>98.286121609031454</v>
      </c>
      <c r="G54" s="34"/>
      <c r="H54" s="33">
        <f t="shared" si="12"/>
        <v>0</v>
      </c>
      <c r="I54" s="32">
        <f t="shared" ca="1" si="13"/>
        <v>-3.2733394142214038E-2</v>
      </c>
      <c r="J54" s="32">
        <f t="shared" ca="1" si="14"/>
        <v>4.6545965006422729E-3</v>
      </c>
      <c r="K54" s="32">
        <f t="shared" ca="1" si="15"/>
        <v>2.4083324278651847E-3</v>
      </c>
      <c r="L54" s="32">
        <f t="shared" ca="1" si="16"/>
        <v>2.0438245963616184E-2</v>
      </c>
      <c r="M54" s="32">
        <f t="shared" ca="1" si="17"/>
        <v>-2.1486460560120314E-2</v>
      </c>
      <c r="N54" s="31"/>
    </row>
    <row r="55" spans="1:18" x14ac:dyDescent="0.3">
      <c r="A55" s="36"/>
      <c r="B55" s="35">
        <f t="shared" ca="1" si="19"/>
        <v>100.72164124009744</v>
      </c>
      <c r="C55" s="35">
        <f t="shared" ca="1" si="19"/>
        <v>99.963540662211457</v>
      </c>
      <c r="D55" s="35">
        <f t="shared" ca="1" si="19"/>
        <v>97.953883073487006</v>
      </c>
      <c r="E55" s="35">
        <f t="shared" ca="1" si="19"/>
        <v>101.18719242323925</v>
      </c>
      <c r="F55" s="35">
        <f t="shared" ca="1" si="19"/>
        <v>99.382785767349233</v>
      </c>
      <c r="G55" s="34"/>
      <c r="H55" s="33">
        <f t="shared" si="12"/>
        <v>0</v>
      </c>
      <c r="I55" s="32">
        <f t="shared" ca="1" si="13"/>
        <v>3.0836661167672932E-2</v>
      </c>
      <c r="J55" s="32">
        <f t="shared" ca="1" si="14"/>
        <v>-5.1019419117566966E-3</v>
      </c>
      <c r="K55" s="32">
        <f t="shared" ca="1" si="15"/>
        <v>-2.6799553893807022E-2</v>
      </c>
      <c r="L55" s="32">
        <f t="shared" ca="1" si="16"/>
        <v>-4.7576140873331375E-3</v>
      </c>
      <c r="M55" s="32">
        <f t="shared" ca="1" si="17"/>
        <v>1.1096084102518732E-2</v>
      </c>
      <c r="N55" s="31"/>
    </row>
    <row r="56" spans="1:18" x14ac:dyDescent="0.3">
      <c r="A56" s="36"/>
      <c r="B56" s="35">
        <f t="shared" ca="1" si="19"/>
        <v>97.776673024836086</v>
      </c>
      <c r="C56" s="35">
        <f t="shared" ca="1" si="19"/>
        <v>99.047188222679267</v>
      </c>
      <c r="D56" s="35">
        <f t="shared" ca="1" si="19"/>
        <v>99.64631481098759</v>
      </c>
      <c r="E56" s="35">
        <f t="shared" ca="1" si="19"/>
        <v>99.782931588202501</v>
      </c>
      <c r="F56" s="35">
        <f t="shared" ca="1" si="19"/>
        <v>99.825676788701998</v>
      </c>
      <c r="G56" s="34"/>
      <c r="H56" s="33">
        <f t="shared" si="12"/>
        <v>0</v>
      </c>
      <c r="I56" s="32">
        <f t="shared" ca="1" si="13"/>
        <v>-2.9674653217180533E-2</v>
      </c>
      <c r="J56" s="32">
        <f t="shared" ca="1" si="14"/>
        <v>-9.2091408422729382E-3</v>
      </c>
      <c r="K56" s="32">
        <f t="shared" ca="1" si="15"/>
        <v>1.7130277620362684E-2</v>
      </c>
      <c r="L56" s="32">
        <f t="shared" ca="1" si="16"/>
        <v>-1.3975049241266232E-2</v>
      </c>
      <c r="M56" s="32">
        <f t="shared" ca="1" si="17"/>
        <v>4.4465154279900391E-3</v>
      </c>
      <c r="N56" s="31"/>
    </row>
    <row r="57" spans="1:18" x14ac:dyDescent="0.3">
      <c r="A57" s="36"/>
      <c r="B57" s="35">
        <f t="shared" ca="1" si="19"/>
        <v>101.337994393347</v>
      </c>
      <c r="C57" s="35">
        <f t="shared" ca="1" si="19"/>
        <v>100.83884484619389</v>
      </c>
      <c r="D57" s="35">
        <f t="shared" ca="1" si="19"/>
        <v>101.21248883479295</v>
      </c>
      <c r="E57" s="35">
        <f t="shared" ca="1" si="19"/>
        <v>99.66228033376764</v>
      </c>
      <c r="F57" s="35">
        <f t="shared" ca="1" si="19"/>
        <v>100.52958512245206</v>
      </c>
      <c r="G57" s="34"/>
      <c r="H57" s="33">
        <f t="shared" si="12"/>
        <v>0</v>
      </c>
      <c r="I57" s="32">
        <f t="shared" ca="1" si="13"/>
        <v>3.5775377520462864E-2</v>
      </c>
      <c r="J57" s="32">
        <f t="shared" ca="1" si="14"/>
        <v>1.7927261653070091E-2</v>
      </c>
      <c r="K57" s="32">
        <f t="shared" ca="1" si="15"/>
        <v>1.5595092047502526E-2</v>
      </c>
      <c r="L57" s="32">
        <f t="shared" ca="1" si="16"/>
        <v>-1.209868795439738E-3</v>
      </c>
      <c r="M57" s="32">
        <f t="shared" ca="1" si="17"/>
        <v>7.0266308280312398E-3</v>
      </c>
      <c r="N57" s="31"/>
    </row>
    <row r="58" spans="1:18" x14ac:dyDescent="0.3">
      <c r="A58" s="36"/>
      <c r="B58" s="35">
        <f t="shared" ca="1" si="19"/>
        <v>100.23167072182775</v>
      </c>
      <c r="C58" s="35">
        <f t="shared" ca="1" si="19"/>
        <v>100.51428689345587</v>
      </c>
      <c r="D58" s="35">
        <f t="shared" ca="1" si="19"/>
        <v>100.62521951499411</v>
      </c>
      <c r="E58" s="35">
        <f t="shared" ca="1" si="19"/>
        <v>99.536356476358023</v>
      </c>
      <c r="F58" s="35">
        <f t="shared" ca="1" si="19"/>
        <v>98.605771103849747</v>
      </c>
      <c r="G58" s="34"/>
      <c r="H58" s="33">
        <f t="shared" si="12"/>
        <v>0</v>
      </c>
      <c r="I58" s="32">
        <f t="shared" ca="1" si="13"/>
        <v>-1.0977195205330484E-2</v>
      </c>
      <c r="J58" s="32">
        <f t="shared" ca="1" si="14"/>
        <v>-3.2237714012195804E-3</v>
      </c>
      <c r="K58" s="32">
        <f t="shared" ca="1" si="15"/>
        <v>-5.8192394459021168E-3</v>
      </c>
      <c r="L58" s="32">
        <f t="shared" ca="1" si="16"/>
        <v>-1.2643045775799838E-3</v>
      </c>
      <c r="M58" s="32">
        <f t="shared" ca="1" si="17"/>
        <v>-1.9322273145162518E-2</v>
      </c>
      <c r="N58" s="31"/>
    </row>
    <row r="59" spans="1:18" x14ac:dyDescent="0.3">
      <c r="A59" s="36"/>
      <c r="B59" s="35">
        <f t="shared" ca="1" si="19"/>
        <v>101.01135664134381</v>
      </c>
      <c r="C59" s="35">
        <f t="shared" ca="1" si="19"/>
        <v>99.600089554242047</v>
      </c>
      <c r="D59" s="35">
        <f t="shared" ca="1" si="19"/>
        <v>98.485817592742549</v>
      </c>
      <c r="E59" s="35">
        <f t="shared" ca="1" si="19"/>
        <v>101.56394773581528</v>
      </c>
      <c r="F59" s="35">
        <f t="shared" ca="1" si="19"/>
        <v>100.04187718218365</v>
      </c>
      <c r="G59" s="34"/>
      <c r="H59" s="33">
        <f t="shared" si="12"/>
        <v>0</v>
      </c>
      <c r="I59" s="32">
        <f t="shared" ca="1" si="13"/>
        <v>7.7487387359309176E-3</v>
      </c>
      <c r="J59" s="32">
        <f t="shared" ca="1" si="14"/>
        <v>-9.1368118103339231E-3</v>
      </c>
      <c r="K59" s="32">
        <f t="shared" ca="1" si="15"/>
        <v>-2.1490363270465839E-2</v>
      </c>
      <c r="L59" s="32">
        <f t="shared" ca="1" si="16"/>
        <v>2.0165657904586336E-2</v>
      </c>
      <c r="M59" s="32">
        <f t="shared" ca="1" si="17"/>
        <v>1.4459079788724365E-2</v>
      </c>
      <c r="N59" s="31"/>
    </row>
    <row r="60" spans="1:18" x14ac:dyDescent="0.3">
      <c r="A60" s="36"/>
      <c r="B60" s="35">
        <f t="shared" ca="1" si="19"/>
        <v>100.66179098418849</v>
      </c>
      <c r="C60" s="35">
        <f t="shared" ca="1" si="19"/>
        <v>99.632664800465136</v>
      </c>
      <c r="D60" s="35">
        <f t="shared" ca="1" si="19"/>
        <v>100.06918373195937</v>
      </c>
      <c r="E60" s="35">
        <f t="shared" ca="1" si="19"/>
        <v>100.8511186633402</v>
      </c>
      <c r="F60" s="35">
        <f t="shared" ca="1" si="19"/>
        <v>99.537125025950132</v>
      </c>
      <c r="G60" s="34"/>
      <c r="H60" s="33">
        <f t="shared" si="12"/>
        <v>0</v>
      </c>
      <c r="I60" s="32">
        <f t="shared" ca="1" si="13"/>
        <v>-3.4666589117386616E-3</v>
      </c>
      <c r="J60" s="32">
        <f t="shared" ca="1" si="14"/>
        <v>3.270069383810555E-4</v>
      </c>
      <c r="K60" s="32">
        <f t="shared" ca="1" si="15"/>
        <v>1.5949230117218063E-2</v>
      </c>
      <c r="L60" s="32">
        <f t="shared" ca="1" si="16"/>
        <v>-7.0432703648847222E-3</v>
      </c>
      <c r="M60" s="32">
        <f t="shared" ca="1" si="17"/>
        <v>-5.058179736643788E-3</v>
      </c>
      <c r="N60" s="31"/>
    </row>
    <row r="61" spans="1:18" x14ac:dyDescent="0.3">
      <c r="A61" s="36"/>
      <c r="B61" s="35">
        <f t="shared" ca="1" si="19"/>
        <v>100.59595149341939</v>
      </c>
      <c r="C61" s="35">
        <f t="shared" ca="1" si="19"/>
        <v>101.03552761910417</v>
      </c>
      <c r="D61" s="35">
        <f t="shared" ca="1" si="19"/>
        <v>100.12491300768457</v>
      </c>
      <c r="E61" s="35">
        <f t="shared" ca="1" si="19"/>
        <v>98.546905133408899</v>
      </c>
      <c r="F61" s="35">
        <f t="shared" ca="1" si="19"/>
        <v>100.6553450106039</v>
      </c>
      <c r="G61" s="34"/>
      <c r="H61" s="33">
        <f t="shared" si="12"/>
        <v>0</v>
      </c>
      <c r="I61" s="32">
        <f t="shared" ca="1" si="13"/>
        <v>-6.5428035023441713E-4</v>
      </c>
      <c r="J61" s="32">
        <f t="shared" ca="1" si="14"/>
        <v>1.3982142926191767E-2</v>
      </c>
      <c r="K61" s="32">
        <f t="shared" ca="1" si="15"/>
        <v>5.5675245246843889E-4</v>
      </c>
      <c r="L61" s="32">
        <f t="shared" ca="1" si="16"/>
        <v>-2.3112727605791764E-2</v>
      </c>
      <c r="M61" s="32">
        <f t="shared" ca="1" si="17"/>
        <v>1.1171565186979728E-2</v>
      </c>
      <c r="N61" s="31"/>
    </row>
    <row r="62" spans="1:18" x14ac:dyDescent="0.3">
      <c r="A62" s="36"/>
      <c r="B62" s="35">
        <f t="shared" ca="1" si="19"/>
        <v>100.21202667311999</v>
      </c>
      <c r="C62" s="35">
        <f t="shared" ca="1" si="19"/>
        <v>100.25806968813879</v>
      </c>
      <c r="D62" s="35">
        <f t="shared" ca="1" si="19"/>
        <v>98.515620874571169</v>
      </c>
      <c r="E62" s="35">
        <f t="shared" ca="1" si="19"/>
        <v>100.34921994499979</v>
      </c>
      <c r="F62" s="35">
        <f t="shared" ca="1" si="19"/>
        <v>100.2961150430658</v>
      </c>
      <c r="G62" s="34"/>
      <c r="H62" s="33">
        <f t="shared" si="12"/>
        <v>0</v>
      </c>
      <c r="I62" s="32">
        <f t="shared" ca="1" si="13"/>
        <v>-3.8238051256789369E-3</v>
      </c>
      <c r="J62" s="32">
        <f t="shared" ca="1" si="14"/>
        <v>-7.7246550043371699E-3</v>
      </c>
      <c r="K62" s="32">
        <f t="shared" ca="1" si="15"/>
        <v>-1.6203413387574216E-2</v>
      </c>
      <c r="L62" s="32">
        <f t="shared" ca="1" si="16"/>
        <v>1.8123672787484231E-2</v>
      </c>
      <c r="M62" s="32">
        <f t="shared" ca="1" si="17"/>
        <v>-3.5752947513175049E-3</v>
      </c>
      <c r="N62" s="31"/>
    </row>
    <row r="63" spans="1:18" x14ac:dyDescent="0.3">
      <c r="A63" s="36"/>
      <c r="B63" s="35">
        <f t="shared" ca="1" si="19"/>
        <v>98.262427761612955</v>
      </c>
      <c r="C63" s="35">
        <f t="shared" ca="1" si="19"/>
        <v>101.65665096803498</v>
      </c>
      <c r="D63" s="35">
        <f t="shared" ca="1" si="19"/>
        <v>100.33831946296122</v>
      </c>
      <c r="E63" s="35">
        <f t="shared" ca="1" si="19"/>
        <v>98.69841425253729</v>
      </c>
      <c r="F63" s="35">
        <f t="shared" ca="1" si="19"/>
        <v>96.870214996873202</v>
      </c>
      <c r="G63" s="34"/>
      <c r="H63" s="33">
        <f t="shared" si="12"/>
        <v>0</v>
      </c>
      <c r="I63" s="32">
        <f t="shared" ca="1" si="13"/>
        <v>-1.9646474163605883E-2</v>
      </c>
      <c r="J63" s="32">
        <f t="shared" ca="1" si="14"/>
        <v>1.3853409428504973E-2</v>
      </c>
      <c r="K63" s="32">
        <f t="shared" ca="1" si="15"/>
        <v>1.8332547326646558E-2</v>
      </c>
      <c r="L63" s="32">
        <f t="shared" ca="1" si="16"/>
        <v>-1.6587421895471285E-2</v>
      </c>
      <c r="M63" s="32">
        <f t="shared" ca="1" si="17"/>
        <v>-3.4754867975554889E-2</v>
      </c>
      <c r="N63" s="31"/>
    </row>
    <row r="64" spans="1:18" x14ac:dyDescent="0.3">
      <c r="A64" s="36"/>
      <c r="B64" s="35">
        <f t="shared" ca="1" si="19"/>
        <v>99.78844801340108</v>
      </c>
      <c r="C64" s="35">
        <f t="shared" ca="1" si="19"/>
        <v>101.62963153527977</v>
      </c>
      <c r="D64" s="35">
        <f t="shared" ca="1" si="19"/>
        <v>100.23654990159484</v>
      </c>
      <c r="E64" s="35">
        <f t="shared" ca="1" si="19"/>
        <v>101.283063548923</v>
      </c>
      <c r="F64" s="35">
        <f t="shared" ca="1" si="19"/>
        <v>98.75788305817305</v>
      </c>
      <c r="G64" s="34"/>
      <c r="H64" s="33">
        <f t="shared" si="12"/>
        <v>0</v>
      </c>
      <c r="I64" s="32">
        <f t="shared" ca="1" si="13"/>
        <v>1.5410691286607617E-2</v>
      </c>
      <c r="J64" s="32">
        <f t="shared" ca="1" si="14"/>
        <v>-2.6582642548823187E-4</v>
      </c>
      <c r="K64" s="32">
        <f t="shared" ca="1" si="15"/>
        <v>-1.0147788745631411E-3</v>
      </c>
      <c r="L64" s="32">
        <f t="shared" ca="1" si="16"/>
        <v>2.5850326275883444E-2</v>
      </c>
      <c r="M64" s="32">
        <f t="shared" ca="1" si="17"/>
        <v>1.9299136159362264E-2</v>
      </c>
      <c r="N64" s="31"/>
    </row>
    <row r="65" spans="2:6" x14ac:dyDescent="0.3">
      <c r="B65" s="4" t="s">
        <v>1</v>
      </c>
      <c r="C65" s="4" t="s">
        <v>1</v>
      </c>
      <c r="D65" s="4" t="s">
        <v>1</v>
      </c>
      <c r="E65" s="4" t="s">
        <v>1</v>
      </c>
      <c r="F65" s="4" t="s">
        <v>1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82FF9-6587-4671-BCF5-831F32E74D5C}">
  <dimension ref="A1:AB148"/>
  <sheetViews>
    <sheetView topLeftCell="D1" zoomScale="69" workbookViewId="0">
      <selection activeCell="R7" sqref="R7"/>
    </sheetView>
  </sheetViews>
  <sheetFormatPr defaultRowHeight="14.4" x14ac:dyDescent="0.3"/>
  <cols>
    <col min="1" max="3" width="8.88671875" style="4"/>
    <col min="4" max="5" width="13.33203125" style="4" bestFit="1" customWidth="1"/>
    <col min="6" max="6" width="15.33203125" style="4" bestFit="1" customWidth="1"/>
    <col min="7" max="7" width="14.88671875" style="4" customWidth="1"/>
    <col min="8" max="8" width="14.77734375" style="4" customWidth="1"/>
    <col min="9" max="9" width="14.88671875" style="4" customWidth="1"/>
    <col min="10" max="16384" width="8.88671875" style="4"/>
  </cols>
  <sheetData>
    <row r="1" spans="1:28" x14ac:dyDescent="0.3">
      <c r="A1" s="9" t="s">
        <v>118</v>
      </c>
      <c r="B1" s="9" t="s">
        <v>119</v>
      </c>
      <c r="C1" s="9" t="s">
        <v>120</v>
      </c>
      <c r="D1" s="9" t="s">
        <v>121</v>
      </c>
      <c r="E1" s="9" t="s">
        <v>122</v>
      </c>
      <c r="F1" s="9" t="s">
        <v>125</v>
      </c>
      <c r="G1" s="9" t="s">
        <v>126</v>
      </c>
      <c r="H1" s="9" t="s">
        <v>126</v>
      </c>
      <c r="I1" s="9" t="s">
        <v>126</v>
      </c>
      <c r="J1" s="4" t="s">
        <v>131</v>
      </c>
    </row>
    <row r="2" spans="1:28" x14ac:dyDescent="0.3">
      <c r="A2" s="7">
        <v>2330</v>
      </c>
      <c r="B2" s="7">
        <v>2902</v>
      </c>
      <c r="C2" s="7">
        <v>1768</v>
      </c>
      <c r="D2" s="9"/>
      <c r="E2" s="9"/>
      <c r="F2" s="9"/>
      <c r="G2" s="9">
        <v>100</v>
      </c>
      <c r="H2" s="9">
        <v>100</v>
      </c>
      <c r="I2" s="9">
        <v>100</v>
      </c>
      <c r="J2" s="8">
        <v>0.5</v>
      </c>
      <c r="K2" s="8">
        <v>0.5</v>
      </c>
    </row>
    <row r="3" spans="1:28" x14ac:dyDescent="0.3">
      <c r="A3" s="7">
        <v>2420</v>
      </c>
      <c r="B3" s="7">
        <v>2926</v>
      </c>
      <c r="C3" s="7">
        <v>1810</v>
      </c>
      <c r="D3" s="5">
        <f>+LN(A3/A2)</f>
        <v>3.789927259098573E-2</v>
      </c>
      <c r="E3" s="5">
        <f>+LN(B3/B2)</f>
        <v>8.2361481359363563E-3</v>
      </c>
      <c r="F3" s="5">
        <f>+SUMPRODUCT(D3:E3,$J$2:$K$2)</f>
        <v>2.3067710363461044E-2</v>
      </c>
      <c r="G3" s="5">
        <f>+G2*EXP(F3)</f>
        <v>102.33358276422624</v>
      </c>
      <c r="H3" s="10">
        <f>+H2*EXP(E3)</f>
        <v>100.82701585113713</v>
      </c>
      <c r="I3" s="5">
        <f>+G2*EXP(F3)</f>
        <v>102.33358276422624</v>
      </c>
    </row>
    <row r="4" spans="1:28" x14ac:dyDescent="0.3">
      <c r="A4" s="7">
        <v>2440</v>
      </c>
      <c r="B4" s="7">
        <v>2910</v>
      </c>
      <c r="C4" s="7">
        <v>1784</v>
      </c>
      <c r="D4" s="5">
        <f t="shared" ref="D4:D67" si="0">+LN(A4/A3)</f>
        <v>8.2304991365154435E-3</v>
      </c>
      <c r="E4" s="5">
        <f t="shared" ref="E4:E67" si="1">+LN(B4/B3)</f>
        <v>-5.4832214145313701E-3</v>
      </c>
      <c r="F4" s="5"/>
      <c r="G4" s="5"/>
      <c r="H4" s="5"/>
      <c r="I4" s="5"/>
      <c r="AB4" s="4">
        <f>_xlfn.NORM.DIST(0,P6,Q6,1)</f>
        <v>2.2750131948179191E-2</v>
      </c>
    </row>
    <row r="5" spans="1:28" x14ac:dyDescent="0.3">
      <c r="A5" s="7">
        <v>2410</v>
      </c>
      <c r="B5" s="7">
        <v>2960</v>
      </c>
      <c r="C5" s="7">
        <v>1790</v>
      </c>
      <c r="D5" s="5">
        <f t="shared" si="0"/>
        <v>-1.2371291802546829E-2</v>
      </c>
      <c r="E5" s="5">
        <f t="shared" si="1"/>
        <v>1.70361871525678E-2</v>
      </c>
      <c r="F5" s="5"/>
      <c r="G5" s="5"/>
      <c r="H5" s="5"/>
      <c r="I5" s="5"/>
      <c r="O5"/>
      <c r="P5" s="22" t="s">
        <v>136</v>
      </c>
      <c r="Q5" s="22" t="s">
        <v>137</v>
      </c>
      <c r="R5" s="23" t="s">
        <v>138</v>
      </c>
      <c r="S5" s="22" t="s">
        <v>139</v>
      </c>
    </row>
    <row r="6" spans="1:28" x14ac:dyDescent="0.3">
      <c r="A6" s="7">
        <v>2390</v>
      </c>
      <c r="B6" s="7">
        <v>2988</v>
      </c>
      <c r="C6" s="7">
        <v>1792</v>
      </c>
      <c r="D6" s="5">
        <f t="shared" si="0"/>
        <v>-8.3333815591442994E-3</v>
      </c>
      <c r="E6" s="5">
        <f t="shared" si="1"/>
        <v>9.4149989346018828E-3</v>
      </c>
      <c r="F6" s="5"/>
      <c r="G6" s="5"/>
      <c r="H6" s="5"/>
      <c r="I6" s="5"/>
      <c r="O6" s="22" t="s">
        <v>140</v>
      </c>
      <c r="P6" s="24">
        <v>0.1</v>
      </c>
      <c r="Q6" s="25">
        <v>0.05</v>
      </c>
      <c r="R6" s="26">
        <f>_xlfn.NORM.DIST(0,P6,Q6,1)</f>
        <v>2.2750131948179191E-2</v>
      </c>
      <c r="S6" s="27">
        <v>0.5</v>
      </c>
    </row>
    <row r="7" spans="1:28" x14ac:dyDescent="0.3">
      <c r="A7" s="7">
        <v>2420</v>
      </c>
      <c r="B7" s="7">
        <v>2966</v>
      </c>
      <c r="C7" s="7">
        <v>1788</v>
      </c>
      <c r="D7" s="5">
        <f t="shared" si="0"/>
        <v>1.2474174225175818E-2</v>
      </c>
      <c r="E7" s="5">
        <f t="shared" si="1"/>
        <v>-7.3900235548305009E-3</v>
      </c>
      <c r="F7" s="5"/>
      <c r="G7" s="5"/>
      <c r="H7" s="5"/>
      <c r="I7" s="5"/>
      <c r="O7" s="22" t="s">
        <v>141</v>
      </c>
      <c r="P7" s="24">
        <v>0.12</v>
      </c>
      <c r="Q7" s="25">
        <v>0.08</v>
      </c>
      <c r="R7" s="26">
        <f>_xlfn.NORM.DIST(0,P7,Q7,1)</f>
        <v>6.6807201268858057E-2</v>
      </c>
      <c r="S7" s="27">
        <f>1-S6</f>
        <v>0.5</v>
      </c>
    </row>
    <row r="8" spans="1:28" ht="23.4" x14ac:dyDescent="0.45">
      <c r="A8" s="7">
        <v>2400</v>
      </c>
      <c r="B8" s="7">
        <v>2994</v>
      </c>
      <c r="C8" s="7">
        <v>1800</v>
      </c>
      <c r="D8" s="5">
        <f t="shared" si="0"/>
        <v>-8.2988028146950658E-3</v>
      </c>
      <c r="E8" s="5">
        <f t="shared" si="1"/>
        <v>9.3960422816963089E-3</v>
      </c>
      <c r="F8" s="5"/>
      <c r="G8" s="5"/>
      <c r="H8" s="5"/>
      <c r="I8" s="5"/>
      <c r="O8" t="s">
        <v>142</v>
      </c>
      <c r="P8" s="28">
        <f>+SUMPRODUCT(S6:S7,P6:P7)</f>
        <v>0.11</v>
      </c>
      <c r="Q8" s="29">
        <f>+SQRT(S6^2*Q6^2+S7^2*Q7^2+2*Q6*Q7*S6*S7*P10)</f>
        <v>1.5000000000000012E-2</v>
      </c>
      <c r="R8"/>
      <c r="S8"/>
    </row>
    <row r="9" spans="1:28" x14ac:dyDescent="0.3">
      <c r="A9" s="7">
        <v>2380</v>
      </c>
      <c r="B9" s="7">
        <v>2990</v>
      </c>
      <c r="C9" s="7">
        <v>1798</v>
      </c>
      <c r="D9" s="5">
        <f t="shared" si="0"/>
        <v>-8.3682496705165792E-3</v>
      </c>
      <c r="E9" s="5">
        <f t="shared" si="1"/>
        <v>-1.3368985948415196E-3</v>
      </c>
      <c r="F9" s="5"/>
      <c r="G9" s="5"/>
      <c r="H9" s="5"/>
      <c r="I9" s="5"/>
      <c r="O9"/>
      <c r="P9"/>
      <c r="Q9"/>
      <c r="R9"/>
      <c r="S9"/>
    </row>
    <row r="10" spans="1:28" x14ac:dyDescent="0.3">
      <c r="A10" s="7">
        <v>2380</v>
      </c>
      <c r="B10" s="7">
        <v>2972</v>
      </c>
      <c r="C10" s="7">
        <v>1776</v>
      </c>
      <c r="D10" s="5">
        <f t="shared" si="0"/>
        <v>0</v>
      </c>
      <c r="E10" s="5">
        <f t="shared" si="1"/>
        <v>-6.0382605470823006E-3</v>
      </c>
      <c r="F10" s="5"/>
      <c r="G10" s="5"/>
      <c r="H10" s="5"/>
      <c r="I10" s="5"/>
      <c r="O10" t="s">
        <v>143</v>
      </c>
      <c r="P10" s="30">
        <v>-1</v>
      </c>
      <c r="Q10"/>
      <c r="R10"/>
      <c r="S10"/>
    </row>
    <row r="11" spans="1:28" x14ac:dyDescent="0.3">
      <c r="A11" s="7">
        <v>2450</v>
      </c>
      <c r="B11" s="7">
        <v>2964</v>
      </c>
      <c r="C11" s="7">
        <v>1786</v>
      </c>
      <c r="D11" s="5">
        <f t="shared" si="0"/>
        <v>2.8987536873252187E-2</v>
      </c>
      <c r="E11" s="5">
        <f t="shared" si="1"/>
        <v>-2.6954194216723226E-3</v>
      </c>
      <c r="F11" s="5"/>
      <c r="G11" s="5"/>
      <c r="H11" s="5"/>
      <c r="I11" s="5"/>
      <c r="J11" s="5"/>
    </row>
    <row r="12" spans="1:28" x14ac:dyDescent="0.3">
      <c r="A12" s="7">
        <v>2440</v>
      </c>
      <c r="B12" s="7">
        <v>2952</v>
      </c>
      <c r="C12" s="7">
        <v>1786</v>
      </c>
      <c r="D12" s="5">
        <f t="shared" si="0"/>
        <v>-4.0899852515251661E-3</v>
      </c>
      <c r="E12" s="5">
        <f t="shared" si="1"/>
        <v>-4.0568006956144299E-3</v>
      </c>
      <c r="F12" s="5"/>
      <c r="G12" s="5"/>
      <c r="H12" s="5"/>
      <c r="I12" s="5"/>
    </row>
    <row r="13" spans="1:28" x14ac:dyDescent="0.3">
      <c r="A13" s="7">
        <v>2400</v>
      </c>
      <c r="B13" s="7">
        <v>2956</v>
      </c>
      <c r="C13" s="7">
        <v>1796</v>
      </c>
      <c r="D13" s="5">
        <f t="shared" si="0"/>
        <v>-1.6529301951210582E-2</v>
      </c>
      <c r="E13" s="5">
        <f t="shared" si="1"/>
        <v>1.3540963477292301E-3</v>
      </c>
      <c r="F13" s="5"/>
      <c r="G13" s="5"/>
      <c r="H13" s="5"/>
      <c r="I13" s="5"/>
    </row>
    <row r="14" spans="1:28" x14ac:dyDescent="0.3">
      <c r="A14" s="7">
        <v>2420</v>
      </c>
      <c r="B14" s="7">
        <v>2954</v>
      </c>
      <c r="C14" s="7">
        <v>1780</v>
      </c>
      <c r="D14" s="5">
        <f t="shared" si="0"/>
        <v>8.2988028146950641E-3</v>
      </c>
      <c r="E14" s="5">
        <f t="shared" si="1"/>
        <v>-6.7681897676732819E-4</v>
      </c>
      <c r="F14" s="5"/>
      <c r="G14" s="5"/>
      <c r="H14" s="5"/>
      <c r="I14" s="5"/>
    </row>
    <row r="15" spans="1:28" x14ac:dyDescent="0.3">
      <c r="A15" s="7">
        <v>2580</v>
      </c>
      <c r="B15" s="7">
        <v>2970</v>
      </c>
      <c r="C15" s="7">
        <v>1774</v>
      </c>
      <c r="D15" s="5">
        <f t="shared" si="0"/>
        <v>6.4021858764931022E-2</v>
      </c>
      <c r="E15" s="5">
        <f t="shared" si="1"/>
        <v>5.4017687054201532E-3</v>
      </c>
      <c r="F15" s="5"/>
      <c r="G15" s="5"/>
      <c r="H15" s="5"/>
      <c r="I15" s="5"/>
    </row>
    <row r="16" spans="1:28" x14ac:dyDescent="0.3">
      <c r="A16" s="7">
        <v>2690</v>
      </c>
      <c r="B16" s="7">
        <v>2968</v>
      </c>
      <c r="C16" s="7">
        <v>1772</v>
      </c>
      <c r="D16" s="5">
        <f t="shared" si="0"/>
        <v>4.1751794680221756E-2</v>
      </c>
      <c r="E16" s="5">
        <f t="shared" si="1"/>
        <v>-6.7362750947427613E-4</v>
      </c>
      <c r="F16" s="5"/>
      <c r="G16" s="5"/>
      <c r="H16" s="5"/>
      <c r="I16" s="5"/>
    </row>
    <row r="17" spans="1:16" x14ac:dyDescent="0.3">
      <c r="A17" s="7">
        <v>2700</v>
      </c>
      <c r="B17" s="7">
        <v>3020</v>
      </c>
      <c r="C17" s="7">
        <v>1776</v>
      </c>
      <c r="D17" s="5">
        <f t="shared" si="0"/>
        <v>3.7105793965355534E-3</v>
      </c>
      <c r="E17" s="5">
        <f t="shared" si="1"/>
        <v>1.7368506081644173E-2</v>
      </c>
      <c r="F17" s="5"/>
      <c r="G17" s="5"/>
      <c r="H17" s="5"/>
      <c r="I17" s="5"/>
    </row>
    <row r="18" spans="1:16" x14ac:dyDescent="0.3">
      <c r="A18" s="7">
        <v>2700</v>
      </c>
      <c r="B18" s="7">
        <v>3016</v>
      </c>
      <c r="C18" s="7">
        <v>1768</v>
      </c>
      <c r="D18" s="5">
        <f t="shared" si="0"/>
        <v>0</v>
      </c>
      <c r="E18" s="5">
        <f t="shared" si="1"/>
        <v>-1.325381241068682E-3</v>
      </c>
      <c r="F18" s="5"/>
      <c r="G18" s="5"/>
      <c r="H18" s="5"/>
      <c r="I18" s="5"/>
    </row>
    <row r="19" spans="1:16" x14ac:dyDescent="0.3">
      <c r="A19" s="7">
        <v>2670</v>
      </c>
      <c r="B19" s="7">
        <v>2982</v>
      </c>
      <c r="C19" s="7">
        <v>1782</v>
      </c>
      <c r="D19" s="5">
        <f t="shared" si="0"/>
        <v>-1.1173300598125189E-2</v>
      </c>
      <c r="E19" s="5">
        <f t="shared" si="1"/>
        <v>-1.1337233803162974E-2</v>
      </c>
      <c r="F19" s="5"/>
      <c r="G19" s="5"/>
      <c r="H19" s="5"/>
      <c r="I19" s="5"/>
    </row>
    <row r="20" spans="1:16" x14ac:dyDescent="0.3">
      <c r="A20" s="7">
        <v>2650</v>
      </c>
      <c r="B20" s="7">
        <v>3000</v>
      </c>
      <c r="C20" s="7">
        <v>1764</v>
      </c>
      <c r="D20" s="5">
        <f t="shared" si="0"/>
        <v>-7.5188324140273398E-3</v>
      </c>
      <c r="E20" s="5">
        <f t="shared" si="1"/>
        <v>6.0180723255629448E-3</v>
      </c>
      <c r="F20" s="5"/>
      <c r="G20" s="5"/>
      <c r="H20" s="5"/>
      <c r="I20" s="5"/>
    </row>
    <row r="21" spans="1:16" x14ac:dyDescent="0.3">
      <c r="A21" s="7">
        <v>2650</v>
      </c>
      <c r="B21" s="7">
        <v>3012</v>
      </c>
      <c r="C21" s="7">
        <v>1778</v>
      </c>
      <c r="D21" s="5">
        <f t="shared" si="0"/>
        <v>0</v>
      </c>
      <c r="E21" s="5">
        <f t="shared" si="1"/>
        <v>3.9920212695374567E-3</v>
      </c>
      <c r="F21" s="5"/>
      <c r="G21" s="5"/>
      <c r="H21" s="5"/>
      <c r="I21" s="5"/>
      <c r="P21" s="4" t="s">
        <v>130</v>
      </c>
    </row>
    <row r="22" spans="1:16" x14ac:dyDescent="0.3">
      <c r="A22" s="7">
        <v>2700</v>
      </c>
      <c r="B22" s="7">
        <v>3030</v>
      </c>
      <c r="C22" s="7">
        <v>1776</v>
      </c>
      <c r="D22" s="5">
        <f t="shared" si="0"/>
        <v>1.8692133012152546E-2</v>
      </c>
      <c r="E22" s="5">
        <f t="shared" si="1"/>
        <v>5.9583095836306249E-3</v>
      </c>
      <c r="F22" s="5"/>
      <c r="G22" s="5"/>
      <c r="H22" s="5"/>
      <c r="I22" s="5"/>
    </row>
    <row r="23" spans="1:16" x14ac:dyDescent="0.3">
      <c r="A23" s="7">
        <v>2790</v>
      </c>
      <c r="B23" s="7">
        <v>3030</v>
      </c>
      <c r="C23" s="7">
        <v>1782</v>
      </c>
      <c r="D23" s="5">
        <f t="shared" si="0"/>
        <v>3.278982282299097E-2</v>
      </c>
      <c r="E23" s="5">
        <f t="shared" si="1"/>
        <v>0</v>
      </c>
      <c r="F23" s="5"/>
      <c r="G23" s="5"/>
      <c r="H23" s="5"/>
      <c r="I23" s="5"/>
    </row>
    <row r="24" spans="1:16" x14ac:dyDescent="0.3">
      <c r="A24" s="7">
        <v>2950</v>
      </c>
      <c r="B24" s="7">
        <v>3014</v>
      </c>
      <c r="C24" s="7">
        <v>1790</v>
      </c>
      <c r="D24" s="5">
        <f t="shared" si="0"/>
        <v>5.576357451845429E-2</v>
      </c>
      <c r="E24" s="5">
        <f t="shared" si="1"/>
        <v>-5.294519316974099E-3</v>
      </c>
      <c r="F24" s="5"/>
      <c r="G24" s="5"/>
      <c r="H24" s="5"/>
      <c r="I24" s="5"/>
    </row>
    <row r="25" spans="1:16" x14ac:dyDescent="0.3">
      <c r="A25" s="7">
        <v>2900</v>
      </c>
      <c r="B25" s="7">
        <v>3024</v>
      </c>
      <c r="C25" s="7">
        <v>1790</v>
      </c>
      <c r="D25" s="5">
        <f t="shared" si="0"/>
        <v>-1.7094433359300068E-2</v>
      </c>
      <c r="E25" s="5">
        <f t="shared" si="1"/>
        <v>3.3123581129828744E-3</v>
      </c>
      <c r="F25" s="5"/>
      <c r="G25" s="5"/>
      <c r="H25" s="5"/>
      <c r="I25" s="5"/>
    </row>
    <row r="26" spans="1:16" x14ac:dyDescent="0.3">
      <c r="A26" s="7">
        <v>2860</v>
      </c>
      <c r="B26" s="7">
        <v>2996</v>
      </c>
      <c r="C26" s="7">
        <v>1774</v>
      </c>
      <c r="D26" s="5">
        <f t="shared" si="0"/>
        <v>-1.388911216066715E-2</v>
      </c>
      <c r="E26" s="5">
        <f t="shared" si="1"/>
        <v>-9.3023926623135612E-3</v>
      </c>
      <c r="F26" s="5"/>
      <c r="G26" s="5"/>
      <c r="H26" s="5"/>
      <c r="I26" s="5"/>
    </row>
    <row r="27" spans="1:16" x14ac:dyDescent="0.3">
      <c r="A27" s="7">
        <v>2900</v>
      </c>
      <c r="B27" s="7">
        <v>3020</v>
      </c>
      <c r="C27" s="7">
        <v>1774</v>
      </c>
      <c r="D27" s="5">
        <f t="shared" si="0"/>
        <v>1.3889112160667093E-2</v>
      </c>
      <c r="E27" s="5">
        <f t="shared" si="1"/>
        <v>7.97876573180532E-3</v>
      </c>
      <c r="F27" s="5"/>
      <c r="G27" s="5"/>
      <c r="H27" s="5"/>
      <c r="I27" s="5"/>
    </row>
    <row r="28" spans="1:16" x14ac:dyDescent="0.3">
      <c r="A28" s="7">
        <v>2920</v>
      </c>
      <c r="B28" s="7">
        <v>3050</v>
      </c>
      <c r="C28" s="7">
        <v>1772</v>
      </c>
      <c r="D28" s="5">
        <f t="shared" si="0"/>
        <v>6.8728792877620504E-3</v>
      </c>
      <c r="E28" s="5">
        <f t="shared" si="1"/>
        <v>9.8847592325419249E-3</v>
      </c>
      <c r="F28" s="5"/>
      <c r="G28" s="5"/>
      <c r="H28" s="5"/>
      <c r="I28" s="5"/>
    </row>
    <row r="29" spans="1:16" x14ac:dyDescent="0.3">
      <c r="A29" s="7">
        <v>2920</v>
      </c>
      <c r="B29" s="7">
        <v>3042</v>
      </c>
      <c r="C29" s="7">
        <v>1774</v>
      </c>
      <c r="D29" s="5">
        <f t="shared" si="0"/>
        <v>0</v>
      </c>
      <c r="E29" s="5">
        <f t="shared" si="1"/>
        <v>-2.6263967822191328E-3</v>
      </c>
      <c r="F29" s="5"/>
      <c r="G29" s="5"/>
      <c r="H29" s="5"/>
      <c r="I29" s="5"/>
    </row>
    <row r="30" spans="1:16" x14ac:dyDescent="0.3">
      <c r="A30" s="7">
        <v>2880</v>
      </c>
      <c r="B30" s="7">
        <v>3020</v>
      </c>
      <c r="C30" s="7">
        <v>1770</v>
      </c>
      <c r="D30" s="5">
        <f t="shared" si="0"/>
        <v>-1.3793322132335873E-2</v>
      </c>
      <c r="E30" s="5">
        <f t="shared" si="1"/>
        <v>-7.2583624503228424E-3</v>
      </c>
      <c r="F30" s="5"/>
      <c r="G30" s="5"/>
      <c r="H30" s="5"/>
      <c r="I30" s="5"/>
    </row>
    <row r="31" spans="1:16" x14ac:dyDescent="0.3">
      <c r="A31" s="7">
        <v>2860</v>
      </c>
      <c r="B31" s="7">
        <v>3058</v>
      </c>
      <c r="C31" s="7">
        <v>1752</v>
      </c>
      <c r="D31" s="5">
        <f t="shared" si="0"/>
        <v>-6.9686693160933158E-3</v>
      </c>
      <c r="E31" s="5">
        <f t="shared" si="1"/>
        <v>1.250427612009233E-2</v>
      </c>
      <c r="F31" s="5"/>
      <c r="G31" s="5"/>
      <c r="H31" s="5"/>
      <c r="I31" s="5"/>
    </row>
    <row r="32" spans="1:16" x14ac:dyDescent="0.3">
      <c r="A32" s="7">
        <v>2840</v>
      </c>
      <c r="B32" s="7">
        <v>3072</v>
      </c>
      <c r="C32" s="7">
        <v>1762</v>
      </c>
      <c r="D32" s="5">
        <f t="shared" si="0"/>
        <v>-7.0175726586465346E-3</v>
      </c>
      <c r="E32" s="5">
        <f t="shared" si="1"/>
        <v>4.5677077785551872E-3</v>
      </c>
      <c r="F32" s="5"/>
      <c r="G32" s="5"/>
      <c r="H32" s="5"/>
      <c r="I32" s="5"/>
    </row>
    <row r="33" spans="1:9" x14ac:dyDescent="0.3">
      <c r="A33" s="7">
        <v>2830</v>
      </c>
      <c r="B33" s="7">
        <v>3080</v>
      </c>
      <c r="C33" s="7">
        <v>1760</v>
      </c>
      <c r="D33" s="5">
        <f t="shared" si="0"/>
        <v>-3.5273405179684107E-3</v>
      </c>
      <c r="E33" s="5">
        <f t="shared" si="1"/>
        <v>2.6007817000574403E-3</v>
      </c>
      <c r="F33" s="5"/>
      <c r="G33" s="5"/>
      <c r="H33" s="5"/>
      <c r="I33" s="5"/>
    </row>
    <row r="34" spans="1:9" x14ac:dyDescent="0.3">
      <c r="A34" s="7">
        <v>2890</v>
      </c>
      <c r="B34" s="7">
        <v>3070</v>
      </c>
      <c r="C34" s="7">
        <v>1750</v>
      </c>
      <c r="D34" s="5">
        <f t="shared" si="0"/>
        <v>2.0979790469194466E-2</v>
      </c>
      <c r="E34" s="5">
        <f t="shared" si="1"/>
        <v>-3.2520353863773432E-3</v>
      </c>
      <c r="F34" s="5"/>
      <c r="G34" s="5"/>
      <c r="H34" s="5"/>
      <c r="I34" s="5"/>
    </row>
    <row r="35" spans="1:9" x14ac:dyDescent="0.3">
      <c r="A35" s="7">
        <v>2860</v>
      </c>
      <c r="B35" s="7">
        <v>3042</v>
      </c>
      <c r="C35" s="7">
        <v>1750</v>
      </c>
      <c r="D35" s="5">
        <f t="shared" si="0"/>
        <v>-1.0434877292579619E-2</v>
      </c>
      <c r="E35" s="5">
        <f t="shared" si="1"/>
        <v>-9.1623677620046324E-3</v>
      </c>
      <c r="F35" s="5"/>
      <c r="G35" s="5"/>
      <c r="H35" s="5"/>
      <c r="I35" s="5"/>
    </row>
    <row r="36" spans="1:9" x14ac:dyDescent="0.3">
      <c r="A36" s="7">
        <v>2870</v>
      </c>
      <c r="B36" s="7">
        <v>3050</v>
      </c>
      <c r="C36" s="7">
        <v>1758</v>
      </c>
      <c r="D36" s="5">
        <f t="shared" si="0"/>
        <v>3.4904049397685676E-3</v>
      </c>
      <c r="E36" s="5">
        <f t="shared" si="1"/>
        <v>2.6263967822190825E-3</v>
      </c>
      <c r="F36" s="5"/>
      <c r="G36" s="5"/>
      <c r="H36" s="5"/>
      <c r="I36" s="5"/>
    </row>
    <row r="37" spans="1:9" x14ac:dyDescent="0.3">
      <c r="A37" s="7">
        <v>2890</v>
      </c>
      <c r="B37" s="7">
        <v>3050</v>
      </c>
      <c r="C37" s="7">
        <v>1742</v>
      </c>
      <c r="D37" s="5">
        <f t="shared" si="0"/>
        <v>6.944472352810995E-3</v>
      </c>
      <c r="E37" s="5">
        <f t="shared" si="1"/>
        <v>0</v>
      </c>
      <c r="F37" s="5"/>
      <c r="G37" s="5"/>
      <c r="H37" s="5"/>
      <c r="I37" s="5"/>
    </row>
    <row r="38" spans="1:9" x14ac:dyDescent="0.3">
      <c r="A38" s="7">
        <v>2830</v>
      </c>
      <c r="B38" s="7">
        <v>3022</v>
      </c>
      <c r="C38" s="7">
        <v>1738</v>
      </c>
      <c r="D38" s="5">
        <f t="shared" si="0"/>
        <v>-2.0979790469194522E-2</v>
      </c>
      <c r="E38" s="5">
        <f t="shared" si="1"/>
        <v>-9.2227267687724473E-3</v>
      </c>
      <c r="F38" s="5"/>
      <c r="G38" s="5"/>
      <c r="H38" s="5"/>
      <c r="I38" s="5"/>
    </row>
    <row r="39" spans="1:9" x14ac:dyDescent="0.3">
      <c r="A39" s="7">
        <v>2850</v>
      </c>
      <c r="B39" s="7">
        <v>3000</v>
      </c>
      <c r="C39" s="7">
        <v>1752</v>
      </c>
      <c r="D39" s="5">
        <f t="shared" si="0"/>
        <v>7.042282625412951E-3</v>
      </c>
      <c r="E39" s="5">
        <f t="shared" si="1"/>
        <v>-7.3065751824381393E-3</v>
      </c>
      <c r="F39" s="5"/>
      <c r="G39" s="5"/>
      <c r="H39" s="5"/>
      <c r="I39" s="5"/>
    </row>
    <row r="40" spans="1:9" x14ac:dyDescent="0.3">
      <c r="A40" s="7">
        <v>2840</v>
      </c>
      <c r="B40" s="7">
        <v>3022</v>
      </c>
      <c r="C40" s="7">
        <v>1754</v>
      </c>
      <c r="D40" s="5">
        <f t="shared" si="0"/>
        <v>-3.5149421074444969E-3</v>
      </c>
      <c r="E40" s="5">
        <f t="shared" si="1"/>
        <v>7.3065751824382148E-3</v>
      </c>
      <c r="F40" s="5"/>
      <c r="G40" s="5"/>
      <c r="H40" s="5"/>
      <c r="I40" s="5"/>
    </row>
    <row r="41" spans="1:9" x14ac:dyDescent="0.3">
      <c r="A41" s="7">
        <v>2830</v>
      </c>
      <c r="B41" s="7">
        <v>3008</v>
      </c>
      <c r="C41" s="7">
        <v>1750</v>
      </c>
      <c r="D41" s="5">
        <f t="shared" si="0"/>
        <v>-3.5273405179684107E-3</v>
      </c>
      <c r="E41" s="5">
        <f t="shared" si="1"/>
        <v>-4.6434577629544073E-3</v>
      </c>
      <c r="F41" s="5"/>
      <c r="G41" s="5"/>
      <c r="H41" s="5"/>
      <c r="I41" s="5"/>
    </row>
    <row r="42" spans="1:9" x14ac:dyDescent="0.3">
      <c r="A42" s="7">
        <v>2800</v>
      </c>
      <c r="B42" s="7">
        <v>3010</v>
      </c>
      <c r="C42" s="7">
        <v>1818</v>
      </c>
      <c r="D42" s="5">
        <f t="shared" si="0"/>
        <v>-1.065729447398798E-2</v>
      </c>
      <c r="E42" s="5">
        <f t="shared" si="1"/>
        <v>6.6467267319095984E-4</v>
      </c>
      <c r="F42" s="5"/>
      <c r="G42" s="5"/>
      <c r="H42" s="5"/>
      <c r="I42" s="5"/>
    </row>
    <row r="43" spans="1:9" x14ac:dyDescent="0.3">
      <c r="A43" s="7">
        <v>2830</v>
      </c>
      <c r="B43" s="7">
        <v>2998</v>
      </c>
      <c r="C43" s="7">
        <v>1818</v>
      </c>
      <c r="D43" s="5">
        <f t="shared" si="0"/>
        <v>1.0657294473987979E-2</v>
      </c>
      <c r="E43" s="5">
        <f t="shared" si="1"/>
        <v>-3.9946790803784028E-3</v>
      </c>
      <c r="F43" s="5"/>
      <c r="G43" s="5"/>
      <c r="H43" s="5"/>
      <c r="I43" s="5"/>
    </row>
    <row r="44" spans="1:9" x14ac:dyDescent="0.3">
      <c r="A44" s="7">
        <v>2800</v>
      </c>
      <c r="B44" s="7">
        <v>2968</v>
      </c>
      <c r="C44" s="7">
        <v>1848</v>
      </c>
      <c r="D44" s="5">
        <f t="shared" si="0"/>
        <v>-1.065729447398798E-2</v>
      </c>
      <c r="E44" s="5">
        <f t="shared" si="1"/>
        <v>-1.0057074375271945E-2</v>
      </c>
      <c r="F44" s="5"/>
      <c r="G44" s="5"/>
      <c r="H44" s="5"/>
      <c r="I44" s="5"/>
    </row>
    <row r="45" spans="1:9" x14ac:dyDescent="0.3">
      <c r="A45" s="7">
        <v>2780</v>
      </c>
      <c r="B45" s="7">
        <v>2998</v>
      </c>
      <c r="C45" s="7">
        <v>1874</v>
      </c>
      <c r="D45" s="5">
        <f t="shared" si="0"/>
        <v>-7.168489478612516E-3</v>
      </c>
      <c r="E45" s="5">
        <f t="shared" si="1"/>
        <v>1.0057074375271874E-2</v>
      </c>
      <c r="F45" s="5"/>
      <c r="G45" s="5"/>
      <c r="H45" s="5"/>
      <c r="I45" s="5"/>
    </row>
    <row r="46" spans="1:9" x14ac:dyDescent="0.3">
      <c r="A46" s="7">
        <v>2790</v>
      </c>
      <c r="B46" s="7">
        <v>2998</v>
      </c>
      <c r="C46" s="7">
        <v>1900</v>
      </c>
      <c r="D46" s="5">
        <f t="shared" si="0"/>
        <v>3.59066813072854E-3</v>
      </c>
      <c r="E46" s="5">
        <f t="shared" si="1"/>
        <v>0</v>
      </c>
      <c r="F46" s="5"/>
      <c r="G46" s="5"/>
      <c r="H46" s="5"/>
      <c r="I46" s="5"/>
    </row>
    <row r="47" spans="1:9" x14ac:dyDescent="0.3">
      <c r="A47" s="7">
        <v>2840</v>
      </c>
      <c r="B47" s="7">
        <v>3000</v>
      </c>
      <c r="C47" s="7">
        <v>1904</v>
      </c>
      <c r="D47" s="5">
        <f t="shared" si="0"/>
        <v>1.7762456339840468E-2</v>
      </c>
      <c r="E47" s="5">
        <f t="shared" si="1"/>
        <v>6.6688898770377427E-4</v>
      </c>
      <c r="F47" s="5"/>
      <c r="G47" s="5"/>
      <c r="H47" s="5"/>
      <c r="I47" s="5"/>
    </row>
    <row r="48" spans="1:9" x14ac:dyDescent="0.3">
      <c r="A48" s="7">
        <v>2830</v>
      </c>
      <c r="B48" s="7">
        <v>2976</v>
      </c>
      <c r="C48" s="7">
        <v>1918</v>
      </c>
      <c r="D48" s="5">
        <f t="shared" si="0"/>
        <v>-3.5273405179684107E-3</v>
      </c>
      <c r="E48" s="5">
        <f t="shared" si="1"/>
        <v>-8.0321716972642666E-3</v>
      </c>
      <c r="F48" s="5"/>
      <c r="G48" s="5"/>
      <c r="H48" s="5"/>
      <c r="I48" s="5"/>
    </row>
    <row r="49" spans="1:9" x14ac:dyDescent="0.3">
      <c r="A49" s="7">
        <v>2810</v>
      </c>
      <c r="B49" s="7">
        <v>3000</v>
      </c>
      <c r="C49" s="7">
        <v>1930</v>
      </c>
      <c r="D49" s="5">
        <f t="shared" si="0"/>
        <v>-7.0922283094919103E-3</v>
      </c>
      <c r="E49" s="5">
        <f t="shared" si="1"/>
        <v>8.0321716972642527E-3</v>
      </c>
      <c r="F49" s="5"/>
      <c r="G49" s="5"/>
      <c r="H49" s="5"/>
      <c r="I49" s="5"/>
    </row>
    <row r="50" spans="1:9" x14ac:dyDescent="0.3">
      <c r="A50" s="7">
        <v>2810</v>
      </c>
      <c r="B50" s="7">
        <v>3006</v>
      </c>
      <c r="C50" s="7">
        <v>1984</v>
      </c>
      <c r="D50" s="5">
        <f t="shared" si="0"/>
        <v>0</v>
      </c>
      <c r="E50" s="5">
        <f t="shared" si="1"/>
        <v>1.9980026626730579E-3</v>
      </c>
      <c r="F50" s="5"/>
      <c r="G50" s="5"/>
      <c r="H50" s="5"/>
      <c r="I50" s="5"/>
    </row>
    <row r="51" spans="1:9" x14ac:dyDescent="0.3">
      <c r="A51" s="7">
        <v>2820</v>
      </c>
      <c r="B51" s="7">
        <v>3008</v>
      </c>
      <c r="C51" s="7">
        <v>1980</v>
      </c>
      <c r="D51" s="5">
        <f t="shared" si="0"/>
        <v>3.5524016043679218E-3</v>
      </c>
      <c r="E51" s="5">
        <f t="shared" si="1"/>
        <v>6.6511475681066141E-4</v>
      </c>
      <c r="F51" s="5"/>
      <c r="G51" s="5"/>
      <c r="H51" s="5"/>
      <c r="I51" s="5"/>
    </row>
    <row r="52" spans="1:9" x14ac:dyDescent="0.3">
      <c r="A52" s="7">
        <v>2820</v>
      </c>
      <c r="B52" s="7">
        <v>2950</v>
      </c>
      <c r="C52" s="7">
        <v>1964</v>
      </c>
      <c r="D52" s="5">
        <f t="shared" si="0"/>
        <v>0</v>
      </c>
      <c r="E52" s="5">
        <f t="shared" si="1"/>
        <v>-1.9470235735864882E-2</v>
      </c>
      <c r="F52" s="5"/>
      <c r="G52" s="5"/>
      <c r="H52" s="5"/>
      <c r="I52" s="5"/>
    </row>
    <row r="53" spans="1:9" x14ac:dyDescent="0.3">
      <c r="A53" s="7">
        <v>2800</v>
      </c>
      <c r="B53" s="7">
        <v>2936</v>
      </c>
      <c r="C53" s="7">
        <v>1976</v>
      </c>
      <c r="D53" s="5">
        <f t="shared" si="0"/>
        <v>-7.1174677688639896E-3</v>
      </c>
      <c r="E53" s="5">
        <f t="shared" si="1"/>
        <v>-4.757059599459346E-3</v>
      </c>
      <c r="F53" s="5"/>
      <c r="G53" s="5"/>
      <c r="H53" s="5"/>
      <c r="I53" s="5"/>
    </row>
    <row r="54" spans="1:9" x14ac:dyDescent="0.3">
      <c r="A54" s="7">
        <v>2800</v>
      </c>
      <c r="B54" s="7">
        <v>2944</v>
      </c>
      <c r="C54" s="7">
        <v>1958</v>
      </c>
      <c r="D54" s="5">
        <f t="shared" si="0"/>
        <v>0</v>
      </c>
      <c r="E54" s="5">
        <f t="shared" si="1"/>
        <v>2.7210901143605863E-3</v>
      </c>
      <c r="F54" s="5"/>
      <c r="G54" s="5"/>
      <c r="H54" s="5"/>
      <c r="I54" s="5"/>
    </row>
    <row r="55" spans="1:9" x14ac:dyDescent="0.3">
      <c r="A55" s="7">
        <v>2810</v>
      </c>
      <c r="B55" s="7">
        <v>2966</v>
      </c>
      <c r="C55" s="7">
        <v>1954</v>
      </c>
      <c r="D55" s="5">
        <f t="shared" si="0"/>
        <v>3.5650661644961446E-3</v>
      </c>
      <c r="E55" s="5">
        <f t="shared" si="1"/>
        <v>7.4450428491105673E-3</v>
      </c>
      <c r="F55" s="5"/>
      <c r="G55" s="5"/>
      <c r="H55" s="5"/>
      <c r="I55" s="5"/>
    </row>
    <row r="56" spans="1:9" x14ac:dyDescent="0.3">
      <c r="A56" s="7">
        <v>2800</v>
      </c>
      <c r="B56" s="7">
        <v>2950</v>
      </c>
      <c r="C56" s="7">
        <v>1960</v>
      </c>
      <c r="D56" s="5">
        <f t="shared" si="0"/>
        <v>-3.5650661644961459E-3</v>
      </c>
      <c r="E56" s="5">
        <f t="shared" si="1"/>
        <v>-5.4090733640118592E-3</v>
      </c>
      <c r="F56" s="5"/>
      <c r="G56" s="5"/>
      <c r="H56" s="5"/>
      <c r="I56" s="5"/>
    </row>
    <row r="57" spans="1:9" x14ac:dyDescent="0.3">
      <c r="A57" s="7">
        <v>2780</v>
      </c>
      <c r="B57" s="7">
        <v>2914</v>
      </c>
      <c r="C57" s="7">
        <v>1924</v>
      </c>
      <c r="D57" s="5">
        <f t="shared" si="0"/>
        <v>-7.168489478612516E-3</v>
      </c>
      <c r="E57" s="5">
        <f t="shared" si="1"/>
        <v>-1.2278462578715397E-2</v>
      </c>
      <c r="F57" s="5"/>
      <c r="G57" s="5"/>
      <c r="H57" s="5"/>
      <c r="I57" s="5"/>
    </row>
    <row r="58" spans="1:9" x14ac:dyDescent="0.3">
      <c r="A58" s="7">
        <v>2810</v>
      </c>
      <c r="B58" s="7">
        <v>2934</v>
      </c>
      <c r="C58" s="7">
        <v>1938</v>
      </c>
      <c r="D58" s="5">
        <f t="shared" si="0"/>
        <v>1.0733555643108633E-2</v>
      </c>
      <c r="E58" s="5">
        <f t="shared" si="1"/>
        <v>6.839971947776944E-3</v>
      </c>
      <c r="F58" s="5"/>
      <c r="G58" s="5"/>
      <c r="H58" s="5"/>
      <c r="I58" s="5"/>
    </row>
    <row r="59" spans="1:9" x14ac:dyDescent="0.3">
      <c r="A59" s="7">
        <v>2740</v>
      </c>
      <c r="B59" s="7">
        <v>2890</v>
      </c>
      <c r="C59" s="7">
        <v>1902</v>
      </c>
      <c r="D59" s="5">
        <f t="shared" si="0"/>
        <v>-2.5226562945675574E-2</v>
      </c>
      <c r="E59" s="5">
        <f t="shared" si="1"/>
        <v>-1.5110177596449195E-2</v>
      </c>
      <c r="F59" s="5"/>
      <c r="G59" s="5"/>
      <c r="H59" s="5"/>
      <c r="I59" s="5"/>
    </row>
    <row r="60" spans="1:9" x14ac:dyDescent="0.3">
      <c r="A60" s="7">
        <v>2800</v>
      </c>
      <c r="B60" s="7">
        <v>2888</v>
      </c>
      <c r="C60" s="7">
        <v>1892</v>
      </c>
      <c r="D60" s="5">
        <f t="shared" si="0"/>
        <v>2.1661496781179467E-2</v>
      </c>
      <c r="E60" s="5">
        <f t="shared" si="1"/>
        <v>-6.9228109376100687E-4</v>
      </c>
      <c r="F60" s="5"/>
      <c r="G60" s="5"/>
      <c r="H60" s="5"/>
      <c r="I60" s="5"/>
    </row>
    <row r="61" spans="1:9" x14ac:dyDescent="0.3">
      <c r="A61" s="7">
        <v>2800</v>
      </c>
      <c r="B61" s="7">
        <v>2924</v>
      </c>
      <c r="C61" s="7">
        <v>1910</v>
      </c>
      <c r="D61" s="5">
        <f t="shared" si="0"/>
        <v>0</v>
      </c>
      <c r="E61" s="5">
        <f t="shared" si="1"/>
        <v>1.2388320856952266E-2</v>
      </c>
      <c r="F61" s="5"/>
      <c r="G61" s="5"/>
      <c r="H61" s="5"/>
      <c r="I61" s="5"/>
    </row>
    <row r="62" spans="1:9" x14ac:dyDescent="0.3">
      <c r="A62" s="7">
        <v>2770</v>
      </c>
      <c r="B62" s="7">
        <v>2900</v>
      </c>
      <c r="C62" s="7">
        <v>1898</v>
      </c>
      <c r="D62" s="5">
        <f t="shared" si="0"/>
        <v>-1.077209698191107E-2</v>
      </c>
      <c r="E62" s="5">
        <f t="shared" si="1"/>
        <v>-8.2418048951037551E-3</v>
      </c>
      <c r="F62" s="5"/>
      <c r="G62" s="5"/>
      <c r="H62" s="5"/>
      <c r="I62" s="5"/>
    </row>
    <row r="63" spans="1:9" x14ac:dyDescent="0.3">
      <c r="A63" s="7">
        <v>2790</v>
      </c>
      <c r="B63" s="7">
        <v>2880</v>
      </c>
      <c r="C63" s="7">
        <v>1882</v>
      </c>
      <c r="D63" s="5">
        <f t="shared" si="0"/>
        <v>7.1942756340272309E-3</v>
      </c>
      <c r="E63" s="5">
        <f t="shared" si="1"/>
        <v>-6.9204428445737952E-3</v>
      </c>
      <c r="F63" s="5"/>
      <c r="G63" s="5"/>
      <c r="H63" s="5"/>
      <c r="I63" s="5"/>
    </row>
    <row r="64" spans="1:9" x14ac:dyDescent="0.3">
      <c r="A64" s="7">
        <v>2750</v>
      </c>
      <c r="B64" s="7">
        <v>2890</v>
      </c>
      <c r="C64" s="7">
        <v>1854</v>
      </c>
      <c r="D64" s="5">
        <f t="shared" si="0"/>
        <v>-1.444068415479436E-2</v>
      </c>
      <c r="E64" s="5">
        <f t="shared" si="1"/>
        <v>3.4662079764863291E-3</v>
      </c>
      <c r="F64" s="5"/>
      <c r="G64" s="5"/>
      <c r="H64" s="5"/>
      <c r="I64" s="5"/>
    </row>
    <row r="65" spans="1:9" x14ac:dyDescent="0.3">
      <c r="A65" s="7">
        <v>2710</v>
      </c>
      <c r="B65" s="7">
        <v>2898</v>
      </c>
      <c r="C65" s="7">
        <v>1870</v>
      </c>
      <c r="D65" s="5">
        <f t="shared" si="0"/>
        <v>-1.4652276786870375E-2</v>
      </c>
      <c r="E65" s="5">
        <f t="shared" si="1"/>
        <v>2.7643417741498857E-3</v>
      </c>
      <c r="F65" s="5"/>
      <c r="G65" s="5"/>
      <c r="H65" s="5"/>
      <c r="I65" s="5"/>
    </row>
    <row r="66" spans="1:9" x14ac:dyDescent="0.3">
      <c r="A66" s="7">
        <v>2760</v>
      </c>
      <c r="B66" s="7">
        <v>2908</v>
      </c>
      <c r="C66" s="7">
        <v>1868</v>
      </c>
      <c r="D66" s="5">
        <f t="shared" si="0"/>
        <v>1.8282044837449073E-2</v>
      </c>
      <c r="E66" s="5">
        <f t="shared" si="1"/>
        <v>3.4447157727822172E-3</v>
      </c>
      <c r="F66" s="5"/>
      <c r="G66" s="5"/>
      <c r="H66" s="5"/>
      <c r="I66" s="5"/>
    </row>
    <row r="67" spans="1:9" x14ac:dyDescent="0.3">
      <c r="A67" s="7">
        <v>2750</v>
      </c>
      <c r="B67" s="7">
        <v>2850</v>
      </c>
      <c r="C67" s="7">
        <v>1868</v>
      </c>
      <c r="D67" s="5">
        <f t="shared" si="0"/>
        <v>-3.6297680505787237E-3</v>
      </c>
      <c r="E67" s="5">
        <f t="shared" si="1"/>
        <v>-2.0146565390713744E-2</v>
      </c>
      <c r="F67" s="5"/>
      <c r="G67" s="5"/>
      <c r="H67" s="5"/>
      <c r="I67" s="5"/>
    </row>
    <row r="68" spans="1:9" x14ac:dyDescent="0.3">
      <c r="A68" s="7">
        <v>2710</v>
      </c>
      <c r="B68" s="7">
        <v>2812</v>
      </c>
      <c r="C68" s="7">
        <v>1896</v>
      </c>
      <c r="D68" s="5">
        <f t="shared" ref="D68:D108" si="2">+LN(A68/A67)</f>
        <v>-1.4652276786870375E-2</v>
      </c>
      <c r="E68" s="5">
        <f t="shared" ref="E68:E108" si="3">+LN(B68/B67)</f>
        <v>-1.3423020332140661E-2</v>
      </c>
      <c r="F68" s="5"/>
      <c r="G68" s="5"/>
      <c r="H68" s="5"/>
      <c r="I68" s="5"/>
    </row>
    <row r="69" spans="1:9" x14ac:dyDescent="0.3">
      <c r="A69" s="7">
        <v>2700</v>
      </c>
      <c r="B69" s="7">
        <v>2800</v>
      </c>
      <c r="C69" s="7">
        <v>1860</v>
      </c>
      <c r="D69" s="5">
        <f t="shared" si="2"/>
        <v>-3.6968618813260916E-3</v>
      </c>
      <c r="E69" s="5">
        <f t="shared" si="3"/>
        <v>-4.2765567672601937E-3</v>
      </c>
      <c r="F69" s="5"/>
      <c r="G69" s="5"/>
      <c r="H69" s="5"/>
      <c r="I69" s="5"/>
    </row>
    <row r="70" spans="1:9" x14ac:dyDescent="0.3">
      <c r="A70" s="7">
        <v>2700</v>
      </c>
      <c r="B70" s="7">
        <v>2810</v>
      </c>
      <c r="C70" s="7">
        <v>1868</v>
      </c>
      <c r="D70" s="5">
        <f t="shared" si="2"/>
        <v>0</v>
      </c>
      <c r="E70" s="5">
        <f t="shared" si="3"/>
        <v>3.5650661644961446E-3</v>
      </c>
      <c r="F70" s="5"/>
      <c r="G70" s="5"/>
      <c r="H70" s="5"/>
      <c r="I70" s="5"/>
    </row>
    <row r="71" spans="1:9" x14ac:dyDescent="0.3">
      <c r="A71" s="7">
        <v>2700</v>
      </c>
      <c r="B71" s="7">
        <v>2796</v>
      </c>
      <c r="C71" s="7">
        <v>1852</v>
      </c>
      <c r="D71" s="5">
        <f t="shared" si="2"/>
        <v>0</v>
      </c>
      <c r="E71" s="5">
        <f t="shared" si="3"/>
        <v>-4.9946589740905356E-3</v>
      </c>
      <c r="F71" s="5"/>
      <c r="G71" s="5"/>
      <c r="H71" s="5"/>
      <c r="I71" s="5"/>
    </row>
    <row r="72" spans="1:9" x14ac:dyDescent="0.3">
      <c r="A72" s="7">
        <v>2710</v>
      </c>
      <c r="B72" s="7">
        <v>2772</v>
      </c>
      <c r="C72" s="7">
        <v>1848</v>
      </c>
      <c r="D72" s="5">
        <f t="shared" si="2"/>
        <v>3.6968618813262026E-3</v>
      </c>
      <c r="E72" s="5">
        <f t="shared" si="3"/>
        <v>-8.6207430439069754E-3</v>
      </c>
      <c r="F72" s="5"/>
      <c r="G72" s="5"/>
      <c r="H72" s="5"/>
      <c r="I72" s="5"/>
    </row>
    <row r="73" spans="1:9" x14ac:dyDescent="0.3">
      <c r="A73" s="7">
        <v>2840</v>
      </c>
      <c r="B73" s="7">
        <v>2720</v>
      </c>
      <c r="C73" s="7">
        <v>1820</v>
      </c>
      <c r="D73" s="5">
        <f t="shared" si="2"/>
        <v>4.6855417281505156E-2</v>
      </c>
      <c r="E73" s="5">
        <f t="shared" si="3"/>
        <v>-1.8937201019750844E-2</v>
      </c>
      <c r="F73" s="5"/>
      <c r="G73" s="5"/>
      <c r="H73" s="5"/>
      <c r="I73" s="5"/>
    </row>
    <row r="74" spans="1:9" x14ac:dyDescent="0.3">
      <c r="A74" s="7">
        <v>2770</v>
      </c>
      <c r="B74" s="7">
        <v>2704</v>
      </c>
      <c r="C74" s="7">
        <v>1834</v>
      </c>
      <c r="D74" s="5">
        <f t="shared" si="2"/>
        <v>-2.4956731973867507E-2</v>
      </c>
      <c r="E74" s="5">
        <f t="shared" si="3"/>
        <v>-5.8997221271882708E-3</v>
      </c>
      <c r="F74" s="5"/>
      <c r="G74" s="5"/>
      <c r="H74" s="5"/>
      <c r="I74" s="5"/>
    </row>
    <row r="75" spans="1:9" x14ac:dyDescent="0.3">
      <c r="A75" s="7">
        <v>2740</v>
      </c>
      <c r="B75" s="7">
        <v>2680</v>
      </c>
      <c r="C75" s="7">
        <v>1802</v>
      </c>
      <c r="D75" s="5">
        <f t="shared" si="2"/>
        <v>-1.0889399799268319E-2</v>
      </c>
      <c r="E75" s="5">
        <f t="shared" si="3"/>
        <v>-8.915363657952393E-3</v>
      </c>
      <c r="F75" s="5"/>
      <c r="G75" s="5"/>
      <c r="H75" s="5"/>
      <c r="I75" s="5"/>
    </row>
    <row r="76" spans="1:9" x14ac:dyDescent="0.3">
      <c r="A76" s="7">
        <v>2770</v>
      </c>
      <c r="B76" s="7">
        <v>2644</v>
      </c>
      <c r="C76" s="7">
        <v>1826</v>
      </c>
      <c r="D76" s="5">
        <f t="shared" si="2"/>
        <v>1.0889399799268317E-2</v>
      </c>
      <c r="E76" s="5">
        <f t="shared" si="3"/>
        <v>-1.352387253332543E-2</v>
      </c>
      <c r="F76" s="5"/>
      <c r="G76" s="5"/>
      <c r="H76" s="5"/>
      <c r="I76" s="5"/>
    </row>
    <row r="77" spans="1:9" x14ac:dyDescent="0.3">
      <c r="A77" s="7">
        <v>2730</v>
      </c>
      <c r="B77" s="7">
        <v>2740</v>
      </c>
      <c r="C77" s="7">
        <v>1814</v>
      </c>
      <c r="D77" s="5">
        <f t="shared" si="2"/>
        <v>-1.4545711002378751E-2</v>
      </c>
      <c r="E77" s="5">
        <f t="shared" si="3"/>
        <v>3.5664998410538919E-2</v>
      </c>
      <c r="F77" s="5"/>
      <c r="G77" s="5"/>
      <c r="H77" s="5"/>
      <c r="I77" s="5"/>
    </row>
    <row r="78" spans="1:9" x14ac:dyDescent="0.3">
      <c r="A78" s="7">
        <v>2700</v>
      </c>
      <c r="B78" s="7">
        <v>2760</v>
      </c>
      <c r="C78" s="7">
        <v>1804</v>
      </c>
      <c r="D78" s="5">
        <f t="shared" si="2"/>
        <v>-1.1049836186584935E-2</v>
      </c>
      <c r="E78" s="5">
        <f t="shared" si="3"/>
        <v>7.2727593290798781E-3</v>
      </c>
      <c r="F78" s="5"/>
      <c r="G78" s="5"/>
      <c r="H78" s="5"/>
      <c r="I78" s="5"/>
    </row>
    <row r="79" spans="1:9" x14ac:dyDescent="0.3">
      <c r="A79" s="7">
        <v>2700</v>
      </c>
      <c r="B79" s="7">
        <v>2698</v>
      </c>
      <c r="C79" s="7">
        <v>1774</v>
      </c>
      <c r="D79" s="5">
        <f t="shared" si="2"/>
        <v>0</v>
      </c>
      <c r="E79" s="5">
        <f t="shared" si="3"/>
        <v>-2.271992194349455E-2</v>
      </c>
      <c r="F79" s="5"/>
      <c r="G79" s="5"/>
      <c r="H79" s="5"/>
      <c r="I79" s="5"/>
    </row>
    <row r="80" spans="1:9" x14ac:dyDescent="0.3">
      <c r="A80" s="7">
        <v>2670</v>
      </c>
      <c r="B80" s="7">
        <v>2750</v>
      </c>
      <c r="C80" s="7">
        <v>1810</v>
      </c>
      <c r="D80" s="5">
        <f t="shared" si="2"/>
        <v>-1.1173300598125189E-2</v>
      </c>
      <c r="E80" s="5">
        <f t="shared" si="3"/>
        <v>1.9090153892915875E-2</v>
      </c>
      <c r="F80" s="5"/>
      <c r="G80" s="5"/>
      <c r="H80" s="5"/>
      <c r="I80" s="5"/>
    </row>
    <row r="81" spans="1:9" x14ac:dyDescent="0.3">
      <c r="A81" s="7">
        <v>2670</v>
      </c>
      <c r="B81" s="7">
        <v>2774</v>
      </c>
      <c r="C81" s="7">
        <v>1820</v>
      </c>
      <c r="D81" s="5">
        <f t="shared" si="2"/>
        <v>0</v>
      </c>
      <c r="E81" s="5">
        <f t="shared" si="3"/>
        <v>8.6894102141598893E-3</v>
      </c>
      <c r="F81" s="5"/>
      <c r="G81" s="5"/>
      <c r="H81" s="5"/>
      <c r="I81" s="5"/>
    </row>
    <row r="82" spans="1:9" x14ac:dyDescent="0.3">
      <c r="A82" s="7">
        <v>2680</v>
      </c>
      <c r="B82" s="7">
        <v>2770</v>
      </c>
      <c r="C82" s="7">
        <v>1852</v>
      </c>
      <c r="D82" s="5">
        <f t="shared" si="2"/>
        <v>3.7383221106071581E-3</v>
      </c>
      <c r="E82" s="5">
        <f t="shared" si="3"/>
        <v>-1.4430016933927145E-3</v>
      </c>
      <c r="F82" s="5"/>
      <c r="G82" s="5"/>
      <c r="H82" s="5"/>
      <c r="I82" s="5"/>
    </row>
    <row r="83" spans="1:9" x14ac:dyDescent="0.3">
      <c r="A83" s="7">
        <v>2680</v>
      </c>
      <c r="B83" s="7">
        <v>2754</v>
      </c>
      <c r="C83" s="7">
        <v>1820</v>
      </c>
      <c r="D83" s="5">
        <f t="shared" si="2"/>
        <v>0</v>
      </c>
      <c r="E83" s="5">
        <f t="shared" si="3"/>
        <v>-5.7929198927839992E-3</v>
      </c>
      <c r="F83" s="5"/>
      <c r="G83" s="5"/>
      <c r="H83" s="5"/>
      <c r="I83" s="5"/>
    </row>
    <row r="84" spans="1:9" x14ac:dyDescent="0.3">
      <c r="A84" s="7">
        <v>2680</v>
      </c>
      <c r="B84" s="7">
        <v>2780</v>
      </c>
      <c r="C84" s="7">
        <v>1802</v>
      </c>
      <c r="D84" s="5">
        <f t="shared" si="2"/>
        <v>0</v>
      </c>
      <c r="E84" s="5">
        <f t="shared" si="3"/>
        <v>9.3965273960826112E-3</v>
      </c>
      <c r="F84" s="5"/>
      <c r="G84" s="5"/>
      <c r="H84" s="5"/>
      <c r="I84" s="5"/>
    </row>
    <row r="85" spans="1:9" x14ac:dyDescent="0.3">
      <c r="A85" s="7">
        <v>2700</v>
      </c>
      <c r="B85" s="7">
        <v>2764</v>
      </c>
      <c r="C85" s="7">
        <v>1800</v>
      </c>
      <c r="D85" s="5">
        <f t="shared" si="2"/>
        <v>7.4349784875179905E-3</v>
      </c>
      <c r="E85" s="5">
        <f t="shared" si="3"/>
        <v>-5.7720217971222888E-3</v>
      </c>
      <c r="F85" s="5"/>
      <c r="G85" s="5"/>
      <c r="H85" s="5"/>
      <c r="I85" s="5"/>
    </row>
    <row r="86" spans="1:9" x14ac:dyDescent="0.3">
      <c r="A86" s="7">
        <v>2660</v>
      </c>
      <c r="B86" s="7">
        <v>2754</v>
      </c>
      <c r="C86" s="7">
        <v>1772</v>
      </c>
      <c r="D86" s="5">
        <f t="shared" si="2"/>
        <v>-1.4925650216675706E-2</v>
      </c>
      <c r="E86" s="5">
        <f t="shared" si="3"/>
        <v>-3.6245055989603601E-3</v>
      </c>
      <c r="F86" s="5"/>
      <c r="G86" s="5"/>
      <c r="H86" s="5"/>
      <c r="I86" s="5"/>
    </row>
    <row r="87" spans="1:9" x14ac:dyDescent="0.3">
      <c r="A87" s="7">
        <v>2660</v>
      </c>
      <c r="B87" s="7">
        <v>2770</v>
      </c>
      <c r="C87" s="7">
        <v>1800</v>
      </c>
      <c r="D87" s="5">
        <f t="shared" si="2"/>
        <v>0</v>
      </c>
      <c r="E87" s="5">
        <f t="shared" si="3"/>
        <v>5.7929198927841059E-3</v>
      </c>
      <c r="F87" s="5"/>
      <c r="G87" s="5"/>
      <c r="H87" s="5"/>
      <c r="I87" s="5"/>
    </row>
    <row r="88" spans="1:9" x14ac:dyDescent="0.3">
      <c r="A88" s="7">
        <v>2660</v>
      </c>
      <c r="B88" s="7">
        <v>2794</v>
      </c>
      <c r="C88" s="7">
        <v>1794</v>
      </c>
      <c r="D88" s="5">
        <f t="shared" si="2"/>
        <v>0</v>
      </c>
      <c r="E88" s="5">
        <f t="shared" si="3"/>
        <v>8.626940635522844E-3</v>
      </c>
      <c r="F88" s="5"/>
      <c r="G88" s="5"/>
      <c r="H88" s="5"/>
      <c r="I88" s="5"/>
    </row>
    <row r="89" spans="1:9" x14ac:dyDescent="0.3">
      <c r="A89" s="7">
        <v>2680</v>
      </c>
      <c r="B89" s="7">
        <v>2746</v>
      </c>
      <c r="C89" s="7">
        <v>1804</v>
      </c>
      <c r="D89" s="5">
        <f t="shared" si="2"/>
        <v>7.4906717291576587E-3</v>
      </c>
      <c r="E89" s="5">
        <f t="shared" si="3"/>
        <v>-1.7328953488990727E-2</v>
      </c>
      <c r="F89" s="5"/>
      <c r="G89" s="5"/>
      <c r="H89" s="5"/>
      <c r="I89" s="5"/>
    </row>
    <row r="90" spans="1:9" x14ac:dyDescent="0.3">
      <c r="A90" s="7">
        <v>2630</v>
      </c>
      <c r="B90" s="7">
        <v>2750</v>
      </c>
      <c r="C90" s="7">
        <v>1810</v>
      </c>
      <c r="D90" s="5">
        <f t="shared" si="2"/>
        <v>-1.8832948333092125E-2</v>
      </c>
      <c r="E90" s="5">
        <f t="shared" si="3"/>
        <v>1.4556043327005853E-3</v>
      </c>
      <c r="F90" s="5"/>
      <c r="G90" s="5"/>
      <c r="H90" s="5"/>
      <c r="I90" s="5"/>
    </row>
    <row r="91" spans="1:9" x14ac:dyDescent="0.3">
      <c r="A91" s="7">
        <v>2620</v>
      </c>
      <c r="B91" s="7">
        <v>2758</v>
      </c>
      <c r="C91" s="7">
        <v>1800</v>
      </c>
      <c r="D91" s="5">
        <f t="shared" si="2"/>
        <v>-3.8095284166677302E-3</v>
      </c>
      <c r="E91" s="5">
        <f t="shared" si="3"/>
        <v>2.9048676926302069E-3</v>
      </c>
      <c r="F91" s="5"/>
      <c r="G91" s="5"/>
      <c r="H91" s="5"/>
      <c r="I91" s="5"/>
    </row>
    <row r="92" spans="1:9" x14ac:dyDescent="0.3">
      <c r="A92" s="7">
        <v>2640</v>
      </c>
      <c r="B92" s="7">
        <v>2744</v>
      </c>
      <c r="C92" s="7">
        <v>1786</v>
      </c>
      <c r="D92" s="5">
        <f t="shared" si="2"/>
        <v>7.6045993852192125E-3</v>
      </c>
      <c r="E92" s="5">
        <f t="shared" si="3"/>
        <v>-5.0890695074712932E-3</v>
      </c>
      <c r="F92" s="5"/>
      <c r="G92" s="5"/>
      <c r="H92" s="5"/>
      <c r="I92" s="5"/>
    </row>
    <row r="93" spans="1:9" x14ac:dyDescent="0.3">
      <c r="A93" s="7">
        <v>2650</v>
      </c>
      <c r="B93" s="7">
        <v>2770</v>
      </c>
      <c r="C93" s="7">
        <v>1772</v>
      </c>
      <c r="D93" s="5">
        <f t="shared" si="2"/>
        <v>3.7807228399061523E-3</v>
      </c>
      <c r="E93" s="5">
        <f t="shared" si="3"/>
        <v>9.4306103356084376E-3</v>
      </c>
      <c r="F93" s="5"/>
      <c r="G93" s="5"/>
      <c r="H93" s="5"/>
      <c r="I93" s="5"/>
    </row>
    <row r="94" spans="1:9" x14ac:dyDescent="0.3">
      <c r="A94" s="7">
        <v>2700</v>
      </c>
      <c r="B94" s="7">
        <v>2738</v>
      </c>
      <c r="C94" s="7">
        <v>1760</v>
      </c>
      <c r="D94" s="5">
        <f t="shared" si="2"/>
        <v>1.8692133012152546E-2</v>
      </c>
      <c r="E94" s="5">
        <f t="shared" si="3"/>
        <v>-1.1619593332990039E-2</v>
      </c>
      <c r="F94" s="5"/>
      <c r="G94" s="5"/>
      <c r="H94" s="5"/>
      <c r="I94" s="5"/>
    </row>
    <row r="95" spans="1:9" x14ac:dyDescent="0.3">
      <c r="A95" s="7">
        <v>2660</v>
      </c>
      <c r="B95" s="7">
        <v>2756</v>
      </c>
      <c r="C95" s="7">
        <v>1796</v>
      </c>
      <c r="D95" s="5">
        <f t="shared" si="2"/>
        <v>-1.4925650216675706E-2</v>
      </c>
      <c r="E95" s="5">
        <f t="shared" si="3"/>
        <v>6.5526262851549836E-3</v>
      </c>
      <c r="F95" s="5"/>
      <c r="G95" s="5"/>
      <c r="H95" s="5"/>
      <c r="I95" s="5"/>
    </row>
    <row r="96" spans="1:9" x14ac:dyDescent="0.3">
      <c r="A96" s="7">
        <v>2650</v>
      </c>
      <c r="B96" s="7">
        <v>2816</v>
      </c>
      <c r="C96" s="7">
        <v>1780</v>
      </c>
      <c r="D96" s="5">
        <f t="shared" si="2"/>
        <v>-3.7664827954768934E-3</v>
      </c>
      <c r="E96" s="5">
        <f t="shared" si="3"/>
        <v>2.1537085144383759E-2</v>
      </c>
      <c r="F96" s="5"/>
      <c r="G96" s="5"/>
      <c r="H96" s="5"/>
      <c r="I96" s="5"/>
    </row>
    <row r="97" spans="1:9" x14ac:dyDescent="0.3">
      <c r="A97" s="7">
        <v>2650</v>
      </c>
      <c r="B97" s="7">
        <v>2938</v>
      </c>
      <c r="C97" s="7">
        <v>1802</v>
      </c>
      <c r="D97" s="5">
        <f t="shared" si="2"/>
        <v>0</v>
      </c>
      <c r="E97" s="5">
        <f t="shared" si="3"/>
        <v>4.2411639455889501E-2</v>
      </c>
      <c r="F97" s="5"/>
      <c r="G97" s="5"/>
      <c r="H97" s="5"/>
      <c r="I97" s="5"/>
    </row>
    <row r="98" spans="1:9" x14ac:dyDescent="0.3">
      <c r="A98" s="7">
        <v>2700</v>
      </c>
      <c r="B98" s="7">
        <v>3014</v>
      </c>
      <c r="C98" s="7">
        <v>1800</v>
      </c>
      <c r="D98" s="5">
        <f t="shared" si="2"/>
        <v>1.8692133012152546E-2</v>
      </c>
      <c r="E98" s="5">
        <f t="shared" si="3"/>
        <v>2.553902245261826E-2</v>
      </c>
      <c r="F98" s="5"/>
      <c r="G98" s="5"/>
      <c r="H98" s="5"/>
      <c r="I98" s="5"/>
    </row>
    <row r="99" spans="1:9" x14ac:dyDescent="0.3">
      <c r="A99" s="7">
        <v>2730</v>
      </c>
      <c r="B99" s="7">
        <v>2996</v>
      </c>
      <c r="C99" s="7">
        <v>1780</v>
      </c>
      <c r="D99" s="5">
        <f t="shared" si="2"/>
        <v>1.1049836186584935E-2</v>
      </c>
      <c r="E99" s="5">
        <f t="shared" si="3"/>
        <v>-5.9900345493306747E-3</v>
      </c>
      <c r="F99" s="5"/>
      <c r="G99" s="5"/>
      <c r="H99" s="5"/>
      <c r="I99" s="5"/>
    </row>
    <row r="100" spans="1:9" x14ac:dyDescent="0.3">
      <c r="A100" s="7">
        <v>2800</v>
      </c>
      <c r="B100" s="7">
        <v>2960</v>
      </c>
      <c r="C100" s="7">
        <v>1764</v>
      </c>
      <c r="D100" s="5">
        <f t="shared" si="2"/>
        <v>2.5317807984289786E-2</v>
      </c>
      <c r="E100" s="5">
        <f t="shared" si="3"/>
        <v>-1.2088797319004073E-2</v>
      </c>
      <c r="F100" s="5"/>
      <c r="G100" s="5"/>
      <c r="H100" s="5"/>
      <c r="I100" s="5"/>
    </row>
    <row r="101" spans="1:9" x14ac:dyDescent="0.3">
      <c r="A101" s="7">
        <v>2730</v>
      </c>
      <c r="B101" s="7">
        <v>2914</v>
      </c>
      <c r="C101" s="7">
        <v>1760</v>
      </c>
      <c r="D101" s="5">
        <f t="shared" si="2"/>
        <v>-2.5317807984289897E-2</v>
      </c>
      <c r="E101" s="5">
        <f t="shared" si="3"/>
        <v>-1.5662560562955924E-2</v>
      </c>
      <c r="F101" s="5"/>
      <c r="G101" s="5"/>
      <c r="H101" s="5"/>
      <c r="I101" s="5"/>
    </row>
    <row r="102" spans="1:9" x14ac:dyDescent="0.3">
      <c r="A102" s="7">
        <v>2720</v>
      </c>
      <c r="B102" s="7">
        <v>2920</v>
      </c>
      <c r="C102" s="7">
        <v>1760</v>
      </c>
      <c r="D102" s="5">
        <f t="shared" si="2"/>
        <v>-3.6697288889624017E-3</v>
      </c>
      <c r="E102" s="5">
        <f t="shared" si="3"/>
        <v>2.0569085071773965E-3</v>
      </c>
      <c r="F102" s="5"/>
      <c r="G102" s="5"/>
      <c r="H102" s="5"/>
      <c r="I102" s="5"/>
    </row>
    <row r="103" spans="1:9" x14ac:dyDescent="0.3">
      <c r="A103" s="7">
        <v>2740</v>
      </c>
      <c r="B103" s="7">
        <v>2890</v>
      </c>
      <c r="C103" s="7">
        <v>1762</v>
      </c>
      <c r="D103" s="5">
        <f t="shared" si="2"/>
        <v>7.3260400920728812E-3</v>
      </c>
      <c r="E103" s="5">
        <f t="shared" si="3"/>
        <v>-1.0327114155849628E-2</v>
      </c>
      <c r="F103" s="5"/>
      <c r="G103" s="5"/>
      <c r="H103" s="5"/>
      <c r="I103" s="5"/>
    </row>
    <row r="104" spans="1:9" x14ac:dyDescent="0.3">
      <c r="A104" s="7">
        <v>2700</v>
      </c>
      <c r="B104" s="7">
        <v>2904</v>
      </c>
      <c r="C104" s="7">
        <v>1790</v>
      </c>
      <c r="D104" s="5">
        <f t="shared" si="2"/>
        <v>-1.4706147389695449E-2</v>
      </c>
      <c r="E104" s="5">
        <f t="shared" si="3"/>
        <v>4.8325948382089371E-3</v>
      </c>
      <c r="F104" s="5"/>
      <c r="G104" s="5"/>
      <c r="H104" s="5"/>
      <c r="I104" s="5"/>
    </row>
    <row r="105" spans="1:9" x14ac:dyDescent="0.3">
      <c r="A105" s="7">
        <v>2750</v>
      </c>
      <c r="B105" s="7">
        <v>2920</v>
      </c>
      <c r="C105" s="7">
        <v>1780</v>
      </c>
      <c r="D105" s="5">
        <f t="shared" si="2"/>
        <v>1.8349138668196617E-2</v>
      </c>
      <c r="E105" s="5">
        <f t="shared" si="3"/>
        <v>5.4945193176407798E-3</v>
      </c>
      <c r="F105" s="5"/>
      <c r="G105" s="5"/>
      <c r="H105" s="5"/>
      <c r="I105" s="5"/>
    </row>
    <row r="106" spans="1:9" x14ac:dyDescent="0.3">
      <c r="A106" s="7">
        <v>2750</v>
      </c>
      <c r="B106" s="7">
        <v>2970</v>
      </c>
      <c r="C106" s="7">
        <v>1784</v>
      </c>
      <c r="D106" s="5">
        <f t="shared" si="2"/>
        <v>0</v>
      </c>
      <c r="E106" s="5">
        <f t="shared" si="3"/>
        <v>1.697833653441783E-2</v>
      </c>
      <c r="F106" s="5"/>
      <c r="G106" s="5"/>
      <c r="H106" s="5"/>
      <c r="I106" s="5"/>
    </row>
    <row r="107" spans="1:9" x14ac:dyDescent="0.3">
      <c r="A107" s="7">
        <v>2710</v>
      </c>
      <c r="B107" s="7">
        <v>3020</v>
      </c>
      <c r="C107" s="7">
        <v>1782</v>
      </c>
      <c r="D107" s="5">
        <f t="shared" si="2"/>
        <v>-1.4652276786870375E-2</v>
      </c>
      <c r="E107" s="5">
        <f t="shared" si="3"/>
        <v>1.6694878572170054E-2</v>
      </c>
      <c r="F107" s="5"/>
      <c r="G107" s="5"/>
      <c r="H107" s="5"/>
      <c r="I107" s="5"/>
    </row>
    <row r="108" spans="1:9" x14ac:dyDescent="0.3">
      <c r="A108" s="7">
        <v>2710</v>
      </c>
      <c r="B108" s="7">
        <v>3084</v>
      </c>
      <c r="C108" s="7">
        <v>1800</v>
      </c>
      <c r="D108" s="5">
        <f t="shared" si="2"/>
        <v>0</v>
      </c>
      <c r="E108" s="5">
        <f t="shared" si="3"/>
        <v>2.0970624314304718E-2</v>
      </c>
      <c r="F108" s="5"/>
      <c r="G108" s="5"/>
      <c r="H108" s="5"/>
      <c r="I108" s="5"/>
    </row>
    <row r="109" spans="1:9" x14ac:dyDescent="0.3">
      <c r="A109" s="6"/>
      <c r="B109" s="6"/>
      <c r="C109" s="6"/>
      <c r="D109" s="5"/>
      <c r="E109" s="5"/>
      <c r="F109" s="5"/>
      <c r="G109" s="5"/>
      <c r="H109" s="5"/>
      <c r="I109" s="5"/>
    </row>
    <row r="110" spans="1:9" x14ac:dyDescent="0.3">
      <c r="A110" s="6"/>
      <c r="B110" s="6"/>
      <c r="C110" s="6"/>
      <c r="D110" s="5"/>
      <c r="E110" s="5"/>
      <c r="F110" s="5"/>
      <c r="G110" s="5"/>
      <c r="H110" s="5"/>
      <c r="I110" s="5"/>
    </row>
    <row r="111" spans="1:9" x14ac:dyDescent="0.3">
      <c r="A111" s="6"/>
      <c r="B111" s="6"/>
      <c r="C111" s="6"/>
      <c r="D111" s="5"/>
      <c r="E111" s="5"/>
      <c r="F111" s="5"/>
      <c r="G111" s="5"/>
      <c r="H111" s="5"/>
      <c r="I111" s="5"/>
    </row>
    <row r="112" spans="1:9" x14ac:dyDescent="0.3">
      <c r="A112" s="6"/>
      <c r="B112" s="6"/>
      <c r="C112" s="6"/>
      <c r="D112" s="5"/>
      <c r="E112" s="5"/>
      <c r="F112" s="5"/>
      <c r="G112" s="5"/>
      <c r="H112" s="5"/>
      <c r="I112" s="5"/>
    </row>
    <row r="113" spans="1:9" x14ac:dyDescent="0.3">
      <c r="A113" s="6"/>
      <c r="B113" s="6"/>
      <c r="C113" s="6"/>
      <c r="D113" s="5"/>
      <c r="E113" s="5"/>
      <c r="F113" s="5"/>
      <c r="G113" s="5"/>
      <c r="H113" s="5"/>
      <c r="I113" s="5"/>
    </row>
    <row r="114" spans="1:9" x14ac:dyDescent="0.3">
      <c r="A114" s="6"/>
      <c r="B114" s="6"/>
      <c r="C114" s="6"/>
      <c r="D114" s="5"/>
      <c r="E114" s="5"/>
      <c r="F114" s="5"/>
      <c r="G114" s="5"/>
      <c r="H114" s="5"/>
      <c r="I114" s="5"/>
    </row>
    <row r="115" spans="1:9" x14ac:dyDescent="0.3">
      <c r="A115" s="6"/>
      <c r="B115" s="6"/>
      <c r="C115" s="6"/>
      <c r="D115" s="5"/>
      <c r="E115" s="5"/>
      <c r="F115" s="5"/>
      <c r="G115" s="5"/>
      <c r="H115" s="5"/>
      <c r="I115" s="5"/>
    </row>
    <row r="116" spans="1:9" x14ac:dyDescent="0.3">
      <c r="A116" s="6"/>
      <c r="B116" s="6"/>
      <c r="C116" s="6"/>
      <c r="D116" s="5"/>
      <c r="E116" s="5"/>
      <c r="F116" s="5"/>
      <c r="G116" s="5"/>
      <c r="H116" s="5"/>
      <c r="I116" s="5"/>
    </row>
    <row r="117" spans="1:9" x14ac:dyDescent="0.3">
      <c r="A117" s="6"/>
      <c r="B117" s="6"/>
      <c r="C117" s="6"/>
      <c r="D117" s="5"/>
      <c r="E117" s="5"/>
      <c r="F117" s="5"/>
      <c r="G117" s="5"/>
      <c r="H117" s="5"/>
      <c r="I117" s="5"/>
    </row>
    <row r="118" spans="1:9" x14ac:dyDescent="0.3">
      <c r="A118" s="6"/>
      <c r="B118" s="6"/>
      <c r="C118" s="6"/>
      <c r="D118" s="5"/>
      <c r="E118" s="5"/>
      <c r="F118" s="5"/>
      <c r="G118" s="5"/>
      <c r="H118" s="5"/>
      <c r="I118" s="5"/>
    </row>
    <row r="119" spans="1:9" x14ac:dyDescent="0.3">
      <c r="A119" s="6"/>
      <c r="B119" s="6"/>
      <c r="C119" s="6"/>
      <c r="D119" s="5"/>
      <c r="E119" s="5"/>
      <c r="F119" s="5"/>
      <c r="G119" s="5"/>
      <c r="H119" s="5"/>
      <c r="I119" s="5"/>
    </row>
    <row r="120" spans="1:9" x14ac:dyDescent="0.3">
      <c r="A120" s="6"/>
      <c r="B120" s="6"/>
      <c r="C120" s="6"/>
      <c r="D120" s="5"/>
      <c r="E120" s="5"/>
      <c r="F120" s="5"/>
      <c r="G120" s="5"/>
      <c r="H120" s="5"/>
      <c r="I120" s="5"/>
    </row>
    <row r="121" spans="1:9" x14ac:dyDescent="0.3">
      <c r="A121" s="6"/>
      <c r="B121" s="6"/>
      <c r="C121" s="6"/>
      <c r="D121" s="5"/>
      <c r="E121" s="5"/>
      <c r="F121" s="5"/>
      <c r="G121" s="5"/>
      <c r="H121" s="5"/>
      <c r="I121" s="5"/>
    </row>
    <row r="122" spans="1:9" x14ac:dyDescent="0.3">
      <c r="A122" s="6"/>
      <c r="B122" s="6"/>
      <c r="C122" s="6"/>
      <c r="D122" s="5"/>
      <c r="E122" s="5"/>
      <c r="F122" s="5"/>
      <c r="G122" s="5"/>
      <c r="H122" s="5"/>
      <c r="I122" s="5"/>
    </row>
    <row r="123" spans="1:9" x14ac:dyDescent="0.3">
      <c r="A123" s="6"/>
      <c r="B123" s="6"/>
      <c r="C123" s="6"/>
      <c r="D123" s="5"/>
      <c r="E123" s="5"/>
      <c r="F123" s="5"/>
      <c r="G123" s="5"/>
      <c r="H123" s="5"/>
      <c r="I123" s="5"/>
    </row>
    <row r="124" spans="1:9" x14ac:dyDescent="0.3">
      <c r="A124" s="6"/>
      <c r="B124" s="6"/>
      <c r="C124" s="6"/>
      <c r="D124" s="5"/>
      <c r="E124" s="5"/>
      <c r="F124" s="5"/>
      <c r="G124" s="5"/>
      <c r="H124" s="5"/>
      <c r="I124" s="5"/>
    </row>
    <row r="125" spans="1:9" x14ac:dyDescent="0.3">
      <c r="A125" s="6"/>
      <c r="B125" s="6"/>
      <c r="C125" s="6"/>
      <c r="D125" s="5"/>
      <c r="E125" s="5"/>
      <c r="F125" s="5"/>
      <c r="G125" s="5"/>
      <c r="H125" s="5"/>
      <c r="I125" s="5"/>
    </row>
    <row r="126" spans="1:9" x14ac:dyDescent="0.3">
      <c r="A126" s="6"/>
      <c r="B126" s="6"/>
      <c r="C126" s="6"/>
      <c r="D126" s="5"/>
      <c r="E126" s="5"/>
      <c r="F126" s="5"/>
      <c r="G126" s="5"/>
      <c r="H126" s="5"/>
      <c r="I126" s="5"/>
    </row>
    <row r="127" spans="1:9" x14ac:dyDescent="0.3">
      <c r="A127" s="6"/>
      <c r="B127" s="6"/>
      <c r="C127" s="6"/>
      <c r="D127" s="5"/>
      <c r="E127" s="5"/>
      <c r="F127" s="5"/>
      <c r="G127" s="5"/>
      <c r="H127" s="5"/>
      <c r="I127" s="5"/>
    </row>
    <row r="128" spans="1:9" x14ac:dyDescent="0.3">
      <c r="A128" s="6"/>
      <c r="B128" s="6"/>
      <c r="C128" s="6"/>
      <c r="D128" s="5"/>
      <c r="E128" s="5"/>
      <c r="F128" s="5"/>
      <c r="G128" s="5"/>
      <c r="H128" s="5"/>
      <c r="I128" s="5"/>
    </row>
    <row r="129" spans="1:9" x14ac:dyDescent="0.3">
      <c r="A129" s="6"/>
      <c r="B129" s="6"/>
      <c r="C129" s="6"/>
      <c r="D129" s="5"/>
      <c r="E129" s="5"/>
      <c r="F129" s="5"/>
      <c r="G129" s="5"/>
      <c r="H129" s="5"/>
      <c r="I129" s="5"/>
    </row>
    <row r="130" spans="1:9" x14ac:dyDescent="0.3">
      <c r="A130" s="6"/>
      <c r="B130" s="6"/>
      <c r="C130" s="6"/>
      <c r="D130" s="5"/>
      <c r="E130" s="5"/>
      <c r="F130" s="5"/>
      <c r="G130" s="5"/>
      <c r="H130" s="5"/>
      <c r="I130" s="5"/>
    </row>
    <row r="131" spans="1:9" x14ac:dyDescent="0.3">
      <c r="A131" s="6"/>
      <c r="B131" s="6"/>
      <c r="C131" s="6"/>
      <c r="D131" s="5"/>
      <c r="E131" s="5"/>
      <c r="F131" s="5"/>
      <c r="G131" s="5"/>
      <c r="H131" s="5"/>
      <c r="I131" s="5"/>
    </row>
    <row r="132" spans="1:9" x14ac:dyDescent="0.3">
      <c r="A132" s="6"/>
      <c r="B132" s="6"/>
      <c r="C132" s="6"/>
      <c r="D132" s="5"/>
      <c r="E132" s="5"/>
      <c r="F132" s="5"/>
      <c r="G132" s="5"/>
      <c r="H132" s="5"/>
      <c r="I132" s="5"/>
    </row>
    <row r="133" spans="1:9" x14ac:dyDescent="0.3">
      <c r="A133" s="6"/>
      <c r="B133" s="6"/>
      <c r="C133" s="6"/>
      <c r="D133" s="5"/>
      <c r="E133" s="5"/>
      <c r="F133" s="5"/>
      <c r="G133" s="5"/>
      <c r="H133" s="5"/>
      <c r="I133" s="5"/>
    </row>
    <row r="134" spans="1:9" x14ac:dyDescent="0.3">
      <c r="A134" s="6"/>
      <c r="B134" s="6"/>
      <c r="C134" s="6"/>
      <c r="D134" s="5"/>
      <c r="E134" s="5"/>
      <c r="F134" s="5"/>
      <c r="G134" s="5"/>
      <c r="H134" s="5"/>
      <c r="I134" s="5"/>
    </row>
    <row r="135" spans="1:9" x14ac:dyDescent="0.3">
      <c r="A135" s="6"/>
      <c r="B135" s="6"/>
      <c r="C135" s="6"/>
      <c r="D135" s="5"/>
      <c r="E135" s="5"/>
      <c r="F135" s="5"/>
      <c r="G135" s="5"/>
      <c r="H135" s="5"/>
      <c r="I135" s="5"/>
    </row>
    <row r="136" spans="1:9" x14ac:dyDescent="0.3">
      <c r="A136" s="6"/>
      <c r="B136" s="6"/>
      <c r="C136" s="6"/>
      <c r="D136" s="5"/>
      <c r="E136" s="5"/>
      <c r="F136" s="5"/>
      <c r="G136" s="5"/>
      <c r="H136" s="5"/>
      <c r="I136" s="5"/>
    </row>
    <row r="137" spans="1:9" x14ac:dyDescent="0.3">
      <c r="A137" s="6"/>
      <c r="B137" s="6"/>
      <c r="C137" s="6"/>
      <c r="D137" s="5"/>
      <c r="E137" s="5"/>
      <c r="F137" s="5"/>
      <c r="G137" s="5"/>
      <c r="H137" s="5"/>
      <c r="I137" s="5"/>
    </row>
    <row r="138" spans="1:9" x14ac:dyDescent="0.3">
      <c r="A138" s="6"/>
      <c r="B138" s="6"/>
      <c r="C138" s="6"/>
      <c r="D138" s="5"/>
      <c r="E138" s="5"/>
      <c r="F138" s="5"/>
      <c r="G138" s="5"/>
      <c r="H138" s="5"/>
      <c r="I138" s="5"/>
    </row>
    <row r="139" spans="1:9" x14ac:dyDescent="0.3">
      <c r="A139" s="6"/>
      <c r="B139" s="6"/>
      <c r="C139" s="6"/>
      <c r="D139" s="5"/>
      <c r="E139" s="5"/>
      <c r="F139" s="5"/>
      <c r="G139" s="5"/>
      <c r="H139" s="5"/>
      <c r="I139" s="5"/>
    </row>
    <row r="140" spans="1:9" x14ac:dyDescent="0.3">
      <c r="A140" s="6"/>
      <c r="B140" s="6"/>
      <c r="C140" s="6"/>
      <c r="D140" s="5"/>
      <c r="E140" s="5"/>
      <c r="F140" s="5"/>
      <c r="G140" s="5"/>
      <c r="H140" s="5"/>
      <c r="I140" s="5"/>
    </row>
    <row r="141" spans="1:9" x14ac:dyDescent="0.3">
      <c r="A141" s="6"/>
      <c r="B141" s="6"/>
      <c r="C141" s="6"/>
      <c r="D141" s="5"/>
      <c r="E141" s="5"/>
      <c r="F141" s="5"/>
      <c r="G141" s="5"/>
      <c r="H141" s="5"/>
      <c r="I141" s="5"/>
    </row>
    <row r="142" spans="1:9" x14ac:dyDescent="0.3">
      <c r="A142" s="6"/>
      <c r="B142" s="6"/>
      <c r="C142" s="6"/>
      <c r="D142" s="5"/>
      <c r="E142" s="5"/>
      <c r="F142" s="5"/>
      <c r="G142" s="5"/>
      <c r="H142" s="5"/>
      <c r="I142" s="5"/>
    </row>
    <row r="143" spans="1:9" x14ac:dyDescent="0.3">
      <c r="A143" s="6"/>
      <c r="B143" s="6"/>
      <c r="C143" s="6"/>
      <c r="D143" s="5"/>
      <c r="E143" s="5"/>
      <c r="F143" s="5"/>
      <c r="G143" s="5"/>
      <c r="H143" s="5"/>
      <c r="I143" s="5"/>
    </row>
    <row r="144" spans="1:9" x14ac:dyDescent="0.3">
      <c r="A144" s="6"/>
      <c r="B144" s="6"/>
      <c r="C144" s="6"/>
      <c r="D144" s="5"/>
      <c r="E144" s="5"/>
      <c r="F144" s="5"/>
      <c r="G144" s="5"/>
      <c r="H144" s="5"/>
      <c r="I144" s="5"/>
    </row>
    <row r="145" spans="1:9" x14ac:dyDescent="0.3">
      <c r="A145" s="6"/>
      <c r="B145" s="6"/>
      <c r="C145" s="6"/>
      <c r="D145" s="5"/>
      <c r="E145" s="5"/>
      <c r="F145" s="5"/>
      <c r="G145" s="5"/>
      <c r="H145" s="5"/>
      <c r="I145" s="5"/>
    </row>
    <row r="146" spans="1:9" x14ac:dyDescent="0.3">
      <c r="A146" s="6"/>
      <c r="B146" s="6"/>
      <c r="C146" s="6"/>
      <c r="D146" s="5"/>
      <c r="E146" s="5"/>
      <c r="F146" s="5"/>
      <c r="G146" s="5"/>
      <c r="H146" s="5"/>
      <c r="I146" s="5"/>
    </row>
    <row r="147" spans="1:9" x14ac:dyDescent="0.3">
      <c r="A147" s="6"/>
      <c r="B147" s="6"/>
      <c r="C147" s="6"/>
      <c r="D147" s="5"/>
      <c r="E147" s="5"/>
      <c r="F147" s="5"/>
      <c r="G147" s="5"/>
      <c r="H147" s="5"/>
      <c r="I147" s="5"/>
    </row>
    <row r="148" spans="1:9" x14ac:dyDescent="0.3">
      <c r="A148" s="6"/>
      <c r="B148" s="6"/>
      <c r="C148" s="6"/>
      <c r="D148" s="5"/>
      <c r="E148" s="5"/>
      <c r="F148" s="5"/>
      <c r="G148" s="5"/>
      <c r="H148" s="5"/>
      <c r="I148" s="5"/>
    </row>
  </sheetData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Hw_task1</vt:lpstr>
      <vt:lpstr>calculations_3</vt:lpstr>
      <vt:lpstr>calculations_1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Olzhas</cp:lastModifiedBy>
  <dcterms:created xsi:type="dcterms:W3CDTF">2025-11-13T15:20:19Z</dcterms:created>
  <dcterms:modified xsi:type="dcterms:W3CDTF">2025-11-17T22:55:17Z</dcterms:modified>
</cp:coreProperties>
</file>